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sa\Documents\CS\2A\Energies_renouvelables\"/>
    </mc:Choice>
  </mc:AlternateContent>
  <xr:revisionPtr revIDLastSave="0" documentId="13_ncr:1_{30442E25-73A7-42DC-B0C1-C0C512796757}" xr6:coauthVersionLast="47" xr6:coauthVersionMax="47" xr10:uidLastSave="{00000000-0000-0000-0000-000000000000}"/>
  <bookViews>
    <workbookView xWindow="-110" yWindow="-110" windowWidth="19420" windowHeight="10300" xr2:uid="{513DA763-EEFE-46DB-AC8B-C54EA230E771}"/>
  </bookViews>
  <sheets>
    <sheet name="Calculs tech" sheetId="2" r:id="rId1"/>
    <sheet name="Energie dans la batterie " sheetId="4" r:id="rId2"/>
    <sheet name="Puissance eoliénne" sheetId="3" r:id="rId3"/>
  </sheets>
  <definedNames>
    <definedName name="_xlchart.v1.0" hidden="1">'Energie dans la batterie '!$B$3</definedName>
    <definedName name="_xlchart.v1.1" hidden="1">'Energie dans la batterie '!$B$4:$B$78</definedName>
    <definedName name="_xlchart.v1.2" hidden="1">'Energie dans la batterie '!$K$4:$K$78</definedName>
    <definedName name="_xlchart.v1.3" hidden="1">'Energie dans la batterie '!$B$3</definedName>
    <definedName name="_xlchart.v1.4" hidden="1">'Energie dans la batterie '!$B$4:$B$78</definedName>
    <definedName name="_xlchart.v1.5" hidden="1">'Energie dans la batterie '!$K$4:$K$78</definedName>
    <definedName name="_xlchart.v1.6" hidden="1">'Energie dans la batterie '!$B$3</definedName>
    <definedName name="_xlchart.v1.7" hidden="1">'Energie dans la batterie '!$B$4:$B$78</definedName>
    <definedName name="_xlchart.v1.8" hidden="1">'Energie dans la batterie '!$K$4:$K$78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4" l="1"/>
  <c r="M12" i="4"/>
  <c r="G64" i="4"/>
  <c r="H64" i="4" s="1"/>
  <c r="G65" i="4"/>
  <c r="G66" i="4"/>
  <c r="H66" i="4" s="1"/>
  <c r="G67" i="4"/>
  <c r="H67" i="4" s="1"/>
  <c r="G68" i="4"/>
  <c r="G69" i="4"/>
  <c r="G70" i="4"/>
  <c r="G71" i="4"/>
  <c r="G72" i="4"/>
  <c r="G73" i="4"/>
  <c r="G74" i="4"/>
  <c r="H74" i="4" s="1"/>
  <c r="G75" i="4"/>
  <c r="G76" i="4"/>
  <c r="H76" i="4" s="1"/>
  <c r="G77" i="4"/>
  <c r="G78" i="4"/>
  <c r="H78" i="4" s="1"/>
  <c r="I78" i="4" s="1"/>
  <c r="H65" i="4"/>
  <c r="H68" i="4"/>
  <c r="J68" i="4" s="1"/>
  <c r="H69" i="4"/>
  <c r="H70" i="4"/>
  <c r="J70" i="4" s="1"/>
  <c r="H71" i="4"/>
  <c r="H72" i="4"/>
  <c r="I72" i="4" s="1"/>
  <c r="H73" i="4"/>
  <c r="I73" i="4" s="1"/>
  <c r="H75" i="4"/>
  <c r="I75" i="4" s="1"/>
  <c r="H77" i="4"/>
  <c r="J77" i="4" s="1"/>
  <c r="I65" i="4"/>
  <c r="I69" i="4"/>
  <c r="I71" i="4"/>
  <c r="I77" i="4"/>
  <c r="J65" i="4"/>
  <c r="J69" i="4"/>
  <c r="J71" i="4"/>
  <c r="J73" i="4"/>
  <c r="J75" i="4"/>
  <c r="G29" i="4"/>
  <c r="H29" i="4" s="1"/>
  <c r="G30" i="4"/>
  <c r="H30" i="4" s="1"/>
  <c r="G31" i="4"/>
  <c r="H31" i="4" s="1"/>
  <c r="I31" i="4" s="1"/>
  <c r="G32" i="4"/>
  <c r="H32" i="4" s="1"/>
  <c r="G33" i="4"/>
  <c r="H33" i="4" s="1"/>
  <c r="G34" i="4"/>
  <c r="G35" i="4"/>
  <c r="G36" i="4"/>
  <c r="H36" i="4" s="1"/>
  <c r="G37" i="4"/>
  <c r="H37" i="4" s="1"/>
  <c r="I37" i="4" s="1"/>
  <c r="G38" i="4"/>
  <c r="H38" i="4" s="1"/>
  <c r="G39" i="4"/>
  <c r="H39" i="4" s="1"/>
  <c r="G40" i="4"/>
  <c r="G41" i="4"/>
  <c r="H41" i="4" s="1"/>
  <c r="G42" i="4"/>
  <c r="H42" i="4" s="1"/>
  <c r="G43" i="4"/>
  <c r="H43" i="4" s="1"/>
  <c r="I43" i="4" s="1"/>
  <c r="G44" i="4"/>
  <c r="H44" i="4" s="1"/>
  <c r="G45" i="4"/>
  <c r="H45" i="4" s="1"/>
  <c r="G46" i="4"/>
  <c r="G47" i="4"/>
  <c r="H47" i="4" s="1"/>
  <c r="I47" i="4" s="1"/>
  <c r="G48" i="4"/>
  <c r="H48" i="4" s="1"/>
  <c r="G49" i="4"/>
  <c r="H49" i="4" s="1"/>
  <c r="I49" i="4" s="1"/>
  <c r="G50" i="4"/>
  <c r="H50" i="4" s="1"/>
  <c r="G51" i="4"/>
  <c r="H51" i="4" s="1"/>
  <c r="G52" i="4"/>
  <c r="G53" i="4"/>
  <c r="H53" i="4" s="1"/>
  <c r="G54" i="4"/>
  <c r="H54" i="4" s="1"/>
  <c r="G55" i="4"/>
  <c r="H55" i="4" s="1"/>
  <c r="I55" i="4" s="1"/>
  <c r="G56" i="4"/>
  <c r="H56" i="4" s="1"/>
  <c r="G57" i="4"/>
  <c r="H57" i="4" s="1"/>
  <c r="G58" i="4"/>
  <c r="G59" i="4"/>
  <c r="G60" i="4"/>
  <c r="H60" i="4" s="1"/>
  <c r="G61" i="4"/>
  <c r="H61" i="4" s="1"/>
  <c r="I61" i="4" s="1"/>
  <c r="G62" i="4"/>
  <c r="H62" i="4" s="1"/>
  <c r="G63" i="4"/>
  <c r="H63" i="4" s="1"/>
  <c r="H34" i="4"/>
  <c r="I34" i="4" s="1"/>
  <c r="H35" i="4"/>
  <c r="I35" i="4" s="1"/>
  <c r="H40" i="4"/>
  <c r="J40" i="4" s="1"/>
  <c r="H46" i="4"/>
  <c r="J46" i="4" s="1"/>
  <c r="H52" i="4"/>
  <c r="I52" i="4" s="1"/>
  <c r="H58" i="4"/>
  <c r="J58" i="4" s="1"/>
  <c r="H59" i="4"/>
  <c r="I59" i="4" s="1"/>
  <c r="J14" i="4"/>
  <c r="J26" i="4"/>
  <c r="G28" i="4"/>
  <c r="H28" i="4" s="1"/>
  <c r="I28" i="4" s="1"/>
  <c r="G27" i="4"/>
  <c r="H27" i="4" s="1"/>
  <c r="J27" i="4" s="1"/>
  <c r="G26" i="4"/>
  <c r="H26" i="4" s="1"/>
  <c r="I26" i="4" s="1"/>
  <c r="G25" i="4"/>
  <c r="H25" i="4" s="1"/>
  <c r="I25" i="4" s="1"/>
  <c r="G24" i="4"/>
  <c r="H24" i="4" s="1"/>
  <c r="I24" i="4" s="1"/>
  <c r="G23" i="4"/>
  <c r="H23" i="4" s="1"/>
  <c r="I23" i="4" s="1"/>
  <c r="G22" i="4"/>
  <c r="H22" i="4" s="1"/>
  <c r="I22" i="4" s="1"/>
  <c r="G21" i="4"/>
  <c r="H21" i="4" s="1"/>
  <c r="J21" i="4" s="1"/>
  <c r="G20" i="4"/>
  <c r="H20" i="4" s="1"/>
  <c r="I20" i="4" s="1"/>
  <c r="G19" i="4"/>
  <c r="H19" i="4" s="1"/>
  <c r="I19" i="4" s="1"/>
  <c r="G18" i="4"/>
  <c r="H18" i="4" s="1"/>
  <c r="I18" i="4" s="1"/>
  <c r="G17" i="4"/>
  <c r="H17" i="4" s="1"/>
  <c r="I17" i="4" s="1"/>
  <c r="G16" i="4"/>
  <c r="H16" i="4" s="1"/>
  <c r="I16" i="4" s="1"/>
  <c r="G15" i="4"/>
  <c r="H15" i="4" s="1"/>
  <c r="J15" i="4" s="1"/>
  <c r="G14" i="4"/>
  <c r="H14" i="4" s="1"/>
  <c r="I14" i="4" s="1"/>
  <c r="G13" i="4"/>
  <c r="H13" i="4" s="1"/>
  <c r="I13" i="4" s="1"/>
  <c r="G12" i="4"/>
  <c r="H12" i="4" s="1"/>
  <c r="J12" i="4" s="1"/>
  <c r="G11" i="4"/>
  <c r="H11" i="4" s="1"/>
  <c r="I11" i="4" s="1"/>
  <c r="G10" i="4"/>
  <c r="H10" i="4" s="1"/>
  <c r="I10" i="4" s="1"/>
  <c r="G9" i="4"/>
  <c r="H9" i="4" s="1"/>
  <c r="J9" i="4" s="1"/>
  <c r="G8" i="4"/>
  <c r="H8" i="4" s="1"/>
  <c r="I8" i="4" s="1"/>
  <c r="G7" i="4"/>
  <c r="H7" i="4" s="1"/>
  <c r="I7" i="4" s="1"/>
  <c r="G6" i="4"/>
  <c r="H6" i="4" s="1"/>
  <c r="J6" i="4" s="1"/>
  <c r="G5" i="4"/>
  <c r="H5" i="4" s="1"/>
  <c r="I5" i="4" s="1"/>
  <c r="G4" i="4"/>
  <c r="H4" i="4" s="1"/>
  <c r="I4" i="4" s="1"/>
  <c r="F5" i="2"/>
  <c r="G5" i="2" s="1"/>
  <c r="H5" i="2" s="1"/>
  <c r="F6" i="2"/>
  <c r="G6" i="2" s="1"/>
  <c r="H6" i="2" s="1"/>
  <c r="F7" i="2"/>
  <c r="G7" i="2" s="1"/>
  <c r="H7" i="2" s="1"/>
  <c r="F8" i="2"/>
  <c r="G8" i="2" s="1"/>
  <c r="H8" i="2" s="1"/>
  <c r="F9" i="2"/>
  <c r="G9" i="2" s="1"/>
  <c r="H9" i="2" s="1"/>
  <c r="F10" i="2"/>
  <c r="G10" i="2" s="1"/>
  <c r="H10" i="2" s="1"/>
  <c r="F11" i="2"/>
  <c r="G11" i="2" s="1"/>
  <c r="H11" i="2" s="1"/>
  <c r="F12" i="2"/>
  <c r="G12" i="2" s="1"/>
  <c r="H12" i="2" s="1"/>
  <c r="F13" i="2"/>
  <c r="G13" i="2" s="1"/>
  <c r="H13" i="2" s="1"/>
  <c r="F14" i="2"/>
  <c r="G14" i="2" s="1"/>
  <c r="H14" i="2" s="1"/>
  <c r="F15" i="2"/>
  <c r="G15" i="2" s="1"/>
  <c r="H15" i="2" s="1"/>
  <c r="F16" i="2"/>
  <c r="G16" i="2" s="1"/>
  <c r="H16" i="2" s="1"/>
  <c r="F17" i="2"/>
  <c r="G17" i="2" s="1"/>
  <c r="H17" i="2" s="1"/>
  <c r="F18" i="2"/>
  <c r="G18" i="2" s="1"/>
  <c r="H18" i="2" s="1"/>
  <c r="F19" i="2"/>
  <c r="G19" i="2" s="1"/>
  <c r="H19" i="2" s="1"/>
  <c r="F20" i="2"/>
  <c r="G20" i="2" s="1"/>
  <c r="H20" i="2" s="1"/>
  <c r="F21" i="2"/>
  <c r="G21" i="2" s="1"/>
  <c r="H21" i="2" s="1"/>
  <c r="F22" i="2"/>
  <c r="G22" i="2" s="1"/>
  <c r="H22" i="2" s="1"/>
  <c r="F23" i="2"/>
  <c r="G23" i="2" s="1"/>
  <c r="H23" i="2" s="1"/>
  <c r="F24" i="2"/>
  <c r="G24" i="2" s="1"/>
  <c r="H24" i="2" s="1"/>
  <c r="F25" i="2"/>
  <c r="G25" i="2" s="1"/>
  <c r="H25" i="2" s="1"/>
  <c r="F26" i="2"/>
  <c r="G26" i="2" s="1"/>
  <c r="H26" i="2" s="1"/>
  <c r="F27" i="2"/>
  <c r="G27" i="2" s="1"/>
  <c r="H27" i="2" s="1"/>
  <c r="F28" i="2"/>
  <c r="G28" i="2" s="1"/>
  <c r="H28" i="2" s="1"/>
  <c r="F29" i="2"/>
  <c r="G29" i="2" s="1"/>
  <c r="H29" i="2" s="1"/>
  <c r="D31" i="2"/>
  <c r="B31" i="2"/>
  <c r="J76" i="4" l="1"/>
  <c r="I76" i="4"/>
  <c r="J64" i="4"/>
  <c r="I64" i="4"/>
  <c r="I70" i="4"/>
  <c r="I68" i="4"/>
  <c r="J74" i="4"/>
  <c r="I74" i="4"/>
  <c r="I67" i="4"/>
  <c r="J67" i="4"/>
  <c r="I66" i="4"/>
  <c r="J66" i="4"/>
  <c r="J53" i="4"/>
  <c r="I53" i="4"/>
  <c r="I41" i="4"/>
  <c r="J41" i="4"/>
  <c r="I29" i="4"/>
  <c r="J29" i="4"/>
  <c r="I9" i="4"/>
  <c r="J17" i="4"/>
  <c r="J59" i="4"/>
  <c r="I27" i="4"/>
  <c r="J47" i="4"/>
  <c r="J72" i="4"/>
  <c r="I21" i="4"/>
  <c r="J78" i="4"/>
  <c r="I12" i="4"/>
  <c r="J35" i="4"/>
  <c r="J51" i="4"/>
  <c r="I51" i="4"/>
  <c r="I57" i="4"/>
  <c r="J57" i="4"/>
  <c r="I33" i="4"/>
  <c r="J33" i="4"/>
  <c r="J56" i="4"/>
  <c r="I56" i="4"/>
  <c r="J44" i="4"/>
  <c r="I44" i="4"/>
  <c r="J32" i="4"/>
  <c r="I32" i="4"/>
  <c r="J60" i="4"/>
  <c r="I60" i="4"/>
  <c r="J54" i="4"/>
  <c r="I54" i="4"/>
  <c r="J48" i="4"/>
  <c r="I48" i="4"/>
  <c r="J42" i="4"/>
  <c r="I42" i="4"/>
  <c r="J36" i="4"/>
  <c r="I36" i="4"/>
  <c r="J30" i="4"/>
  <c r="I30" i="4"/>
  <c r="J63" i="4"/>
  <c r="I63" i="4"/>
  <c r="J45" i="4"/>
  <c r="I45" i="4"/>
  <c r="J39" i="4"/>
  <c r="I39" i="4"/>
  <c r="J62" i="4"/>
  <c r="I62" i="4"/>
  <c r="J50" i="4"/>
  <c r="I50" i="4"/>
  <c r="J38" i="4"/>
  <c r="I38" i="4"/>
  <c r="I58" i="4"/>
  <c r="I46" i="4"/>
  <c r="I40" i="4"/>
  <c r="I6" i="4"/>
  <c r="J52" i="4"/>
  <c r="J34" i="4"/>
  <c r="J23" i="4"/>
  <c r="J18" i="4"/>
  <c r="I15" i="4"/>
  <c r="J61" i="4"/>
  <c r="J55" i="4"/>
  <c r="J49" i="4"/>
  <c r="J43" i="4"/>
  <c r="J37" i="4"/>
  <c r="J31" i="4"/>
  <c r="J5" i="4"/>
  <c r="J24" i="4"/>
  <c r="J11" i="4"/>
  <c r="J20" i="4"/>
  <c r="J8" i="4"/>
  <c r="J25" i="4"/>
  <c r="J19" i="4"/>
  <c r="J13" i="4"/>
  <c r="J7" i="4"/>
  <c r="J28" i="4"/>
  <c r="J22" i="4"/>
  <c r="J16" i="4"/>
  <c r="J10" i="4"/>
  <c r="J4" i="4"/>
  <c r="D34" i="2"/>
  <c r="F31" i="2"/>
  <c r="F34" i="2" s="1"/>
  <c r="H31" i="2"/>
  <c r="F41" i="2" s="1"/>
</calcChain>
</file>

<file path=xl/sharedStrings.xml><?xml version="1.0" encoding="utf-8"?>
<sst xmlns="http://schemas.openxmlformats.org/spreadsheetml/2006/main" count="38" uniqueCount="28">
  <si>
    <t>kWh/jour</t>
  </si>
  <si>
    <t xml:space="preserve">Heure de la journée </t>
  </si>
  <si>
    <t>Vitesse vent (m/s)</t>
  </si>
  <si>
    <t>Irradiance (W/m²)</t>
  </si>
  <si>
    <t>Power (kW)</t>
  </si>
  <si>
    <t>Wind speed (m/s)</t>
  </si>
  <si>
    <t>Source : https://en.wind-turbine-models.com/turbines/1682-hummer-h25-0-100kw</t>
  </si>
  <si>
    <t>Puissance  Eolienne (kW)</t>
  </si>
  <si>
    <t xml:space="preserve">KWh/jour </t>
  </si>
  <si>
    <t xml:space="preserve">kWh/jour </t>
  </si>
  <si>
    <t xml:space="preserve">Déficit totale </t>
  </si>
  <si>
    <t xml:space="preserve">Nombre de panneau </t>
  </si>
  <si>
    <t xml:space="preserve">Soit </t>
  </si>
  <si>
    <t xml:space="preserve">Puissance d'une batterie (kWh) </t>
  </si>
  <si>
    <t>Capacité d'utilisation :</t>
  </si>
  <si>
    <t xml:space="preserve">Surplus d'énergie à stocker </t>
  </si>
  <si>
    <t xml:space="preserve">Nombre de batterie : </t>
  </si>
  <si>
    <t xml:space="preserve">Nombre effectif </t>
  </si>
  <si>
    <t>Surplus d'énergie à stocker (kWh)</t>
  </si>
  <si>
    <t>Puissance solaire  (kW)</t>
  </si>
  <si>
    <t>Energie par panneau</t>
  </si>
  <si>
    <t xml:space="preserve">Energie eolienne </t>
  </si>
  <si>
    <t xml:space="preserve">Energie consommée </t>
  </si>
  <si>
    <t>Puissance solaire  par panneaux (W)</t>
  </si>
  <si>
    <t>Puissance consommée (kW)</t>
  </si>
  <si>
    <t xml:space="preserve">Enérgie stocké </t>
  </si>
  <si>
    <t xml:space="preserve">Bilan Energétique </t>
  </si>
  <si>
    <t xml:space="preserve">ici on a le 20%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</si>
</sst>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left" vertical="center"/>
    </xf>
    <xf numFmtId="0" fontId="0" fillId="3" borderId="3" xfId="0" applyFill="1" applyBorder="1"/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1" fontId="0" fillId="3" borderId="3" xfId="0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 wrapText="1"/>
    </xf>
    <xf numFmtId="1" fontId="0" fillId="2" borderId="3" xfId="0" applyNumberFormat="1" applyFill="1" applyBorder="1" applyAlignment="1">
      <alignment horizontal="left" vertical="center"/>
    </xf>
    <xf numFmtId="2" fontId="0" fillId="3" borderId="3" xfId="0" applyNumberForma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vertical="center"/>
    </xf>
    <xf numFmtId="2" fontId="0" fillId="3" borderId="4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" fontId="0" fillId="0" borderId="0" xfId="0" applyNumberFormat="1" applyAlignment="1">
      <alignment horizontal="right" vertical="center" wrapText="1"/>
    </xf>
    <xf numFmtId="0" fontId="0" fillId="0" borderId="0" xfId="0" applyNumberFormat="1"/>
  </cellXfs>
  <cellStyles count="1">
    <cellStyle name="Normal" xfId="0" builtinId="0"/>
  </cellStyles>
  <dxfs count="18"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1" formatCode="0"/>
      <alignment horizontal="right" vertical="center" textRotation="0" wrapText="1" indent="0" justifyLastLine="0" shrinkToFit="0" readingOrder="0"/>
    </dxf>
    <dxf>
      <numFmt numFmtId="164" formatCode="0.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2" formatCode="0.00"/>
    </dxf>
    <dxf>
      <numFmt numFmtId="0" formatCode="General"/>
    </dxf>
    <dxf>
      <numFmt numFmtId="2" formatCode="0.00"/>
    </dxf>
    <dxf>
      <numFmt numFmtId="1" formatCode="0"/>
      <alignment horizontal="right" vertical="center" textRotation="0" wrapText="1" indent="0" justifyLastLine="0" shrinkToFit="0" readingOrder="0"/>
    </dxf>
    <dxf>
      <numFmt numFmtId="164" formatCode="0.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Bilan</a:t>
            </a:r>
            <a:r>
              <a:rPr lang="en-US" baseline="0"/>
              <a:t> énergitque de la journée</a:t>
            </a:r>
          </a:p>
        </c:rich>
      </c:tx>
      <c:layout>
        <c:manualLayout>
          <c:xMode val="edge"/>
          <c:yMode val="edge"/>
          <c:x val="0.47423156425379104"/>
          <c:y val="3.2696403230139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224692724151643E-2"/>
          <c:y val="0.16143285647933459"/>
          <c:w val="0.91387299086632146"/>
          <c:h val="0.73419433381463028"/>
        </c:manualLayout>
      </c:layout>
      <c:scatterChart>
        <c:scatterStyle val="smoothMarker"/>
        <c:varyColors val="0"/>
        <c:ser>
          <c:idx val="0"/>
          <c:order val="0"/>
          <c:tx>
            <c:v>Energie consommée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'Calculs tech'!$A$5:$A$29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'Calculs tech'!$B$5:$B$29</c:f>
              <c:numCache>
                <c:formatCode>General</c:formatCode>
                <c:ptCount val="25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33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45</c:v>
                </c:pt>
                <c:pt idx="11">
                  <c:v>40</c:v>
                </c:pt>
                <c:pt idx="12">
                  <c:v>35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  <c:pt idx="16">
                  <c:v>35</c:v>
                </c:pt>
                <c:pt idx="17">
                  <c:v>40</c:v>
                </c:pt>
                <c:pt idx="18">
                  <c:v>47</c:v>
                </c:pt>
                <c:pt idx="19">
                  <c:v>50</c:v>
                </c:pt>
                <c:pt idx="20">
                  <c:v>47</c:v>
                </c:pt>
                <c:pt idx="21">
                  <c:v>40</c:v>
                </c:pt>
                <c:pt idx="22">
                  <c:v>35</c:v>
                </c:pt>
                <c:pt idx="23">
                  <c:v>28</c:v>
                </c:pt>
                <c:pt idx="24">
                  <c:v>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9F-4DC9-90F2-1D4AA2F4CC38}"/>
            </c:ext>
          </c:extLst>
        </c:ser>
        <c:ser>
          <c:idx val="1"/>
          <c:order val="1"/>
          <c:tx>
            <c:v>Energie eolienne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'Calculs tech'!$A$5:$A$29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'Calculs tech'!$D$5:$D$29</c:f>
              <c:numCache>
                <c:formatCode>General</c:formatCode>
                <c:ptCount val="25"/>
                <c:pt idx="0">
                  <c:v>26.8</c:v>
                </c:pt>
                <c:pt idx="1">
                  <c:v>26.8</c:v>
                </c:pt>
                <c:pt idx="2">
                  <c:v>26.8</c:v>
                </c:pt>
                <c:pt idx="3">
                  <c:v>26.8</c:v>
                </c:pt>
                <c:pt idx="4">
                  <c:v>26.8</c:v>
                </c:pt>
                <c:pt idx="5">
                  <c:v>26.8</c:v>
                </c:pt>
                <c:pt idx="6">
                  <c:v>26.8</c:v>
                </c:pt>
                <c:pt idx="7">
                  <c:v>26.8</c:v>
                </c:pt>
                <c:pt idx="8">
                  <c:v>27.7</c:v>
                </c:pt>
                <c:pt idx="9">
                  <c:v>27.7</c:v>
                </c:pt>
                <c:pt idx="10">
                  <c:v>28.6</c:v>
                </c:pt>
                <c:pt idx="11">
                  <c:v>29.5</c:v>
                </c:pt>
                <c:pt idx="12">
                  <c:v>29.5</c:v>
                </c:pt>
                <c:pt idx="13">
                  <c:v>30.4</c:v>
                </c:pt>
                <c:pt idx="14">
                  <c:v>30.4</c:v>
                </c:pt>
                <c:pt idx="15">
                  <c:v>29.5</c:v>
                </c:pt>
                <c:pt idx="16">
                  <c:v>28.6</c:v>
                </c:pt>
                <c:pt idx="17">
                  <c:v>27.7</c:v>
                </c:pt>
                <c:pt idx="18">
                  <c:v>25.9</c:v>
                </c:pt>
                <c:pt idx="19">
                  <c:v>25.9</c:v>
                </c:pt>
                <c:pt idx="20">
                  <c:v>25.9</c:v>
                </c:pt>
                <c:pt idx="21">
                  <c:v>25.9</c:v>
                </c:pt>
                <c:pt idx="22">
                  <c:v>25.9</c:v>
                </c:pt>
                <c:pt idx="23">
                  <c:v>25.9</c:v>
                </c:pt>
                <c:pt idx="24">
                  <c:v>26.8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9F-4DC9-90F2-1D4AA2F4CC38}"/>
            </c:ext>
          </c:extLst>
        </c:ser>
        <c:ser>
          <c:idx val="2"/>
          <c:order val="2"/>
          <c:tx>
            <c:v>Energie solaire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'Calculs tech'!$A$5:$A$29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</c:numRef>
          </c:xVal>
          <c:yVal>
            <c:numRef>
              <c:f>'Calculs tech'!$G$5:$G$29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5.2379999999999996E-2</c:v>
                </c:pt>
                <c:pt idx="5">
                  <c:v>0.68093999999999999</c:v>
                </c:pt>
                <c:pt idx="6">
                  <c:v>4.2427799999999998</c:v>
                </c:pt>
                <c:pt idx="7">
                  <c:v>11.36646</c:v>
                </c:pt>
                <c:pt idx="8">
                  <c:v>20.375820000000001</c:v>
                </c:pt>
                <c:pt idx="9">
                  <c:v>27.551879999999997</c:v>
                </c:pt>
                <c:pt idx="10">
                  <c:v>32.266079999999995</c:v>
                </c:pt>
                <c:pt idx="11">
                  <c:v>34.256519999999995</c:v>
                </c:pt>
                <c:pt idx="12">
                  <c:v>33.523199999999996</c:v>
                </c:pt>
                <c:pt idx="13">
                  <c:v>30.013740000000002</c:v>
                </c:pt>
                <c:pt idx="14">
                  <c:v>24.199559999999998</c:v>
                </c:pt>
                <c:pt idx="15">
                  <c:v>16.290179999999999</c:v>
                </c:pt>
                <c:pt idx="16">
                  <c:v>7.9093800000000005</c:v>
                </c:pt>
                <c:pt idx="17">
                  <c:v>2.4618599999999997</c:v>
                </c:pt>
                <c:pt idx="18">
                  <c:v>0.36666000000000004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D9F-4DC9-90F2-1D4AA2F4C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6368"/>
        <c:axId val="69275088"/>
      </c:scatterChart>
      <c:valAx>
        <c:axId val="6925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Heure de la journée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75088"/>
        <c:crosses val="autoZero"/>
        <c:crossBetween val="midCat"/>
      </c:valAx>
      <c:valAx>
        <c:axId val="6927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énergie</a:t>
                </a:r>
                <a:r>
                  <a:rPr lang="en-US" baseline="0"/>
                  <a:t> électrique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56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96481534024588"/>
          <c:y val="0.42091349236135744"/>
          <c:w val="0.15350993603442145"/>
          <c:h val="0.170273358859430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600"/>
              <a:t>L'évolution de l'énérgie stockée dans les batteries</a:t>
            </a:r>
            <a:r>
              <a:rPr lang="en-US" sz="3600" baseline="0"/>
              <a:t> en f(jour)</a:t>
            </a:r>
            <a:endParaRPr lang="en-US" sz="3600"/>
          </a:p>
        </c:rich>
      </c:tx>
      <c:layout>
        <c:manualLayout>
          <c:xMode val="edge"/>
          <c:yMode val="edge"/>
          <c:x val="0.21709691327696279"/>
          <c:y val="2.90881314942504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12935883014624"/>
          <c:y val="0.15699093699574151"/>
          <c:w val="0.82728347171602645"/>
          <c:h val="0.68571985974788585"/>
        </c:manualLayout>
      </c:layout>
      <c:lineChart>
        <c:grouping val="standard"/>
        <c:varyColors val="0"/>
        <c:ser>
          <c:idx val="0"/>
          <c:order val="0"/>
          <c:tx>
            <c:strRef>
              <c:f>'Energie dans la batterie '!$B$3</c:f>
              <c:strCache>
                <c:ptCount val="1"/>
                <c:pt idx="0">
                  <c:v>Heure de la journée </c:v>
                </c:pt>
              </c:strCache>
            </c:strRef>
          </c:tx>
          <c:spPr>
            <a:ln w="635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'Energie dans la batterie '!$B$4:$B$78</c:f>
              <c:numCache>
                <c:formatCode>General</c:formatCode>
                <c:ptCount val="7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4</c:v>
                </c:pt>
                <c:pt idx="30">
                  <c:v>5</c:v>
                </c:pt>
                <c:pt idx="31">
                  <c:v>6</c:v>
                </c:pt>
                <c:pt idx="32">
                  <c:v>7</c:v>
                </c:pt>
                <c:pt idx="33">
                  <c:v>8</c:v>
                </c:pt>
                <c:pt idx="34">
                  <c:v>9</c:v>
                </c:pt>
                <c:pt idx="35">
                  <c:v>10</c:v>
                </c:pt>
                <c:pt idx="36">
                  <c:v>11</c:v>
                </c:pt>
                <c:pt idx="37">
                  <c:v>12</c:v>
                </c:pt>
                <c:pt idx="38">
                  <c:v>13</c:v>
                </c:pt>
                <c:pt idx="39">
                  <c:v>14</c:v>
                </c:pt>
                <c:pt idx="40">
                  <c:v>15</c:v>
                </c:pt>
                <c:pt idx="41">
                  <c:v>16</c:v>
                </c:pt>
                <c:pt idx="42">
                  <c:v>17</c:v>
                </c:pt>
                <c:pt idx="43">
                  <c:v>18</c:v>
                </c:pt>
                <c:pt idx="44">
                  <c:v>19</c:v>
                </c:pt>
                <c:pt idx="45">
                  <c:v>20</c:v>
                </c:pt>
                <c:pt idx="46">
                  <c:v>21</c:v>
                </c:pt>
                <c:pt idx="47">
                  <c:v>22</c:v>
                </c:pt>
                <c:pt idx="48">
                  <c:v>23</c:v>
                </c:pt>
                <c:pt idx="49">
                  <c:v>24</c:v>
                </c:pt>
                <c:pt idx="50">
                  <c:v>0</c:v>
                </c:pt>
                <c:pt idx="51">
                  <c:v>1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5</c:v>
                </c:pt>
                <c:pt idx="56">
                  <c:v>6</c:v>
                </c:pt>
                <c:pt idx="57">
                  <c:v>7</c:v>
                </c:pt>
                <c:pt idx="58">
                  <c:v>8</c:v>
                </c:pt>
                <c:pt idx="59">
                  <c:v>9</c:v>
                </c:pt>
                <c:pt idx="60">
                  <c:v>10</c:v>
                </c:pt>
                <c:pt idx="61">
                  <c:v>11</c:v>
                </c:pt>
                <c:pt idx="62">
                  <c:v>12</c:v>
                </c:pt>
                <c:pt idx="63">
                  <c:v>13</c:v>
                </c:pt>
                <c:pt idx="64">
                  <c:v>14</c:v>
                </c:pt>
                <c:pt idx="65">
                  <c:v>15</c:v>
                </c:pt>
                <c:pt idx="66">
                  <c:v>16</c:v>
                </c:pt>
                <c:pt idx="67">
                  <c:v>17</c:v>
                </c:pt>
                <c:pt idx="68">
                  <c:v>18</c:v>
                </c:pt>
                <c:pt idx="69">
                  <c:v>19</c:v>
                </c:pt>
                <c:pt idx="70">
                  <c:v>20</c:v>
                </c:pt>
                <c:pt idx="71">
                  <c:v>21</c:v>
                </c:pt>
                <c:pt idx="72">
                  <c:v>22</c:v>
                </c:pt>
                <c:pt idx="73">
                  <c:v>23</c:v>
                </c:pt>
                <c:pt idx="74">
                  <c:v>24</c:v>
                </c:pt>
              </c:numCache>
            </c:numRef>
          </c:cat>
          <c:val>
            <c:numRef>
              <c:f>'Energie dans la batterie '!$K$4:$K$78</c:f>
              <c:numCache>
                <c:formatCode>0.00</c:formatCode>
                <c:ptCount val="75"/>
                <c:pt idx="0">
                  <c:v>64.7</c:v>
                </c:pt>
                <c:pt idx="1">
                  <c:v>61.5</c:v>
                </c:pt>
                <c:pt idx="2">
                  <c:v>58.3</c:v>
                </c:pt>
                <c:pt idx="3">
                  <c:v>55.1</c:v>
                </c:pt>
                <c:pt idx="4">
                  <c:v>51.9</c:v>
                </c:pt>
                <c:pt idx="5">
                  <c:v>48.75</c:v>
                </c:pt>
                <c:pt idx="6">
                  <c:v>43.23</c:v>
                </c:pt>
                <c:pt idx="7">
                  <c:v>39.270000000000003</c:v>
                </c:pt>
                <c:pt idx="8">
                  <c:v>37.44</c:v>
                </c:pt>
                <c:pt idx="9">
                  <c:v>40.520000000000003</c:v>
                </c:pt>
                <c:pt idx="10">
                  <c:v>45.77</c:v>
                </c:pt>
                <c:pt idx="11">
                  <c:v>61.64</c:v>
                </c:pt>
                <c:pt idx="12">
                  <c:v>85.4</c:v>
                </c:pt>
                <c:pt idx="13">
                  <c:v>113.42</c:v>
                </c:pt>
                <c:pt idx="14">
                  <c:v>137.83000000000001</c:v>
                </c:pt>
                <c:pt idx="15">
                  <c:v>156.43</c:v>
                </c:pt>
                <c:pt idx="16">
                  <c:v>166.22</c:v>
                </c:pt>
                <c:pt idx="17">
                  <c:v>167.73</c:v>
                </c:pt>
                <c:pt idx="18">
                  <c:v>157.88999999999999</c:v>
                </c:pt>
                <c:pt idx="19">
                  <c:v>137.16</c:v>
                </c:pt>
                <c:pt idx="20">
                  <c:v>113.06</c:v>
                </c:pt>
                <c:pt idx="21">
                  <c:v>91.96</c:v>
                </c:pt>
                <c:pt idx="22">
                  <c:v>77.86</c:v>
                </c:pt>
                <c:pt idx="23">
                  <c:v>68.760000000000005</c:v>
                </c:pt>
                <c:pt idx="24">
                  <c:v>66.66</c:v>
                </c:pt>
                <c:pt idx="25">
                  <c:v>65.459999999999994</c:v>
                </c:pt>
                <c:pt idx="26">
                  <c:v>62.26</c:v>
                </c:pt>
                <c:pt idx="27">
                  <c:v>59.06</c:v>
                </c:pt>
                <c:pt idx="28">
                  <c:v>55.86</c:v>
                </c:pt>
                <c:pt idx="29">
                  <c:v>52.66</c:v>
                </c:pt>
                <c:pt idx="30">
                  <c:v>49.51</c:v>
                </c:pt>
                <c:pt idx="31">
                  <c:v>43.99</c:v>
                </c:pt>
                <c:pt idx="32">
                  <c:v>40.03</c:v>
                </c:pt>
                <c:pt idx="33">
                  <c:v>38.200000000000003</c:v>
                </c:pt>
                <c:pt idx="34">
                  <c:v>41.28</c:v>
                </c:pt>
                <c:pt idx="35">
                  <c:v>46.53</c:v>
                </c:pt>
                <c:pt idx="36">
                  <c:v>62.4</c:v>
                </c:pt>
                <c:pt idx="37">
                  <c:v>86.16</c:v>
                </c:pt>
                <c:pt idx="38">
                  <c:v>114.18</c:v>
                </c:pt>
                <c:pt idx="39">
                  <c:v>138.59</c:v>
                </c:pt>
                <c:pt idx="40">
                  <c:v>157.19</c:v>
                </c:pt>
                <c:pt idx="41">
                  <c:v>166.98</c:v>
                </c:pt>
                <c:pt idx="42">
                  <c:v>168.49</c:v>
                </c:pt>
                <c:pt idx="43">
                  <c:v>158.65</c:v>
                </c:pt>
                <c:pt idx="44">
                  <c:v>137.91999999999999</c:v>
                </c:pt>
                <c:pt idx="45">
                  <c:v>113.82</c:v>
                </c:pt>
                <c:pt idx="46">
                  <c:v>92.72</c:v>
                </c:pt>
                <c:pt idx="47">
                  <c:v>78.62</c:v>
                </c:pt>
                <c:pt idx="48">
                  <c:v>69.52</c:v>
                </c:pt>
                <c:pt idx="49">
                  <c:v>67.42</c:v>
                </c:pt>
                <c:pt idx="50">
                  <c:v>66.22</c:v>
                </c:pt>
                <c:pt idx="51">
                  <c:v>63.02</c:v>
                </c:pt>
                <c:pt idx="52">
                  <c:v>59.82</c:v>
                </c:pt>
                <c:pt idx="53">
                  <c:v>56.62</c:v>
                </c:pt>
                <c:pt idx="54">
                  <c:v>53.42</c:v>
                </c:pt>
                <c:pt idx="55">
                  <c:v>50.27</c:v>
                </c:pt>
                <c:pt idx="56">
                  <c:v>44.75</c:v>
                </c:pt>
                <c:pt idx="57">
                  <c:v>40.79</c:v>
                </c:pt>
                <c:pt idx="58">
                  <c:v>38.96</c:v>
                </c:pt>
                <c:pt idx="59">
                  <c:v>42.04</c:v>
                </c:pt>
                <c:pt idx="60">
                  <c:v>47.29</c:v>
                </c:pt>
                <c:pt idx="61">
                  <c:v>63.16</c:v>
                </c:pt>
                <c:pt idx="62">
                  <c:v>86.92</c:v>
                </c:pt>
                <c:pt idx="63">
                  <c:v>114.94</c:v>
                </c:pt>
                <c:pt idx="64">
                  <c:v>139.35</c:v>
                </c:pt>
                <c:pt idx="65">
                  <c:v>157.94999999999999</c:v>
                </c:pt>
                <c:pt idx="66">
                  <c:v>167.74</c:v>
                </c:pt>
                <c:pt idx="67">
                  <c:v>169.25</c:v>
                </c:pt>
                <c:pt idx="68">
                  <c:v>159.41</c:v>
                </c:pt>
                <c:pt idx="69">
                  <c:v>138.68</c:v>
                </c:pt>
                <c:pt idx="70">
                  <c:v>114.58</c:v>
                </c:pt>
                <c:pt idx="71">
                  <c:v>93.48</c:v>
                </c:pt>
                <c:pt idx="72">
                  <c:v>79.38</c:v>
                </c:pt>
                <c:pt idx="73">
                  <c:v>70.28</c:v>
                </c:pt>
                <c:pt idx="74">
                  <c:v>68.180000000000007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4BA-4CA6-94A0-6D8FA2ECE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5827104"/>
        <c:axId val="2115828544"/>
      </c:lineChart>
      <c:catAx>
        <c:axId val="2115827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/>
                  <a:t>L'heure dans la journéé </a:t>
                </a:r>
              </a:p>
            </c:rich>
          </c:tx>
          <c:layout>
            <c:manualLayout>
              <c:xMode val="edge"/>
              <c:yMode val="edge"/>
              <c:x val="0.44104635456132835"/>
              <c:y val="0.91992884644763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828544"/>
        <c:crosses val="autoZero"/>
        <c:auto val="1"/>
        <c:lblAlgn val="ctr"/>
        <c:lblOffset val="100"/>
        <c:noMultiLvlLbl val="0"/>
      </c:catAx>
      <c:valAx>
        <c:axId val="211582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3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3200"/>
                  <a:t>L'énergie</a:t>
                </a:r>
                <a:r>
                  <a:rPr lang="en-US" sz="3200" baseline="0"/>
                  <a:t> stockée dans la batterige en kWh</a:t>
                </a:r>
                <a:endParaRPr lang="en-US" sz="3200"/>
              </a:p>
            </c:rich>
          </c:tx>
          <c:layout>
            <c:manualLayout>
              <c:xMode val="edge"/>
              <c:yMode val="edge"/>
              <c:x val="2.7025593057917061E-2"/>
              <c:y val="0.14708930702964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3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82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Generated</a:t>
            </a:r>
            <a:r>
              <a:rPr lang="en-US" baseline="0"/>
              <a:t> power per wind speed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7041255609695089E-2"/>
          <c:y val="0.1362529274004684"/>
          <c:w val="0.8922684572797368"/>
          <c:h val="0.7176193549576794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'Puissance eoliénne'!$C$5</c:f>
              <c:strCache>
                <c:ptCount val="1"/>
                <c:pt idx="0">
                  <c:v>Power (kW)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'Puissance eoliénne'!$B$6:$B$18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20</c:v>
                </c:pt>
              </c:numCache>
            </c:numRef>
          </c:xVal>
          <c:yVal>
            <c:numRef>
              <c:f>'Puissance eoliénne'!$C$6:$C$18</c:f>
              <c:numCache>
                <c:formatCode>General</c:formatCode>
                <c:ptCount val="13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17</c:v>
                </c:pt>
                <c:pt idx="4">
                  <c:v>25</c:v>
                </c:pt>
                <c:pt idx="5">
                  <c:v>34</c:v>
                </c:pt>
                <c:pt idx="6">
                  <c:v>49</c:v>
                </c:pt>
                <c:pt idx="7">
                  <c:v>63</c:v>
                </c:pt>
                <c:pt idx="8">
                  <c:v>80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AD-430E-9EB5-FE671629A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267648"/>
        <c:axId val="1626268128"/>
      </c:scatterChart>
      <c:valAx>
        <c:axId val="162626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Wind speed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268128"/>
        <c:crosses val="autoZero"/>
        <c:crossBetween val="midCat"/>
      </c:valAx>
      <c:valAx>
        <c:axId val="162626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(kW)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26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1166186</xdr:colOff>
      <xdr:row>43</xdr:row>
      <xdr:rowOff>180034</xdr:rowOff>
    </xdr:from>
    <xdr:to>
      <xdr:col>5</xdr:col>
      <xdr:colOff>2043546</xdr:colOff>
      <xdr:row>76</xdr:row>
      <xdr:rowOff>115454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C6ED7E-1E3A-B558-780F-A217C5DFE2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1387474</xdr:colOff>
      <xdr:row>80</xdr:row>
      <xdr:rowOff>190500</xdr:rowOff>
    </xdr:from>
    <xdr:to>
      <xdr:col>10</xdr:col>
      <xdr:colOff>1981199</xdr:colOff>
      <xdr:row>131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D07444-B594-418E-BE85-B686B80FD2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394153</xdr:colOff>
      <xdr:row>4</xdr:row>
      <xdr:rowOff>168728</xdr:rowOff>
    </xdr:from>
    <xdr:to>
      <xdr:col>12</xdr:col>
      <xdr:colOff>283029</xdr:colOff>
      <xdr:row>21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B222D0-3BA7-0820-8067-460AF4ABB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511174</xdr:colOff>
      <xdr:row>25</xdr:row>
      <xdr:rowOff>46182</xdr:rowOff>
    </xdr:from>
    <xdr:to>
      <xdr:col>10</xdr:col>
      <xdr:colOff>144895</xdr:colOff>
      <xdr:row>40</xdr:row>
      <xdr:rowOff>176085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B25559-91A4-C49C-968B-57EF4518D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1174" y="4953000"/>
          <a:ext cx="7703994" cy="307399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9EE11-008E-4A9D-82B6-3757EC360942}" name="Table1" displayName="Table1" ref="A4:H29" totalsRowShown="0" headerRowDxfId="17">
  <autoFilter ref="A4:H29" xr:uid="{A1D4A9DE-7B1A-48BA-A9BE-C5D42B4AA68A}"/>
  <tableColumns count="8">
    <tableColumn id="1" xr3:uid="{130855BE-F04B-4F2D-942F-8C7F23A9058E}" name="Heure de la journée "/>
    <tableColumn id="2" xr3:uid="{2A11789F-D197-4C07-876F-2AB2FDD02C43}" name="Puissance consommée (kW)"/>
    <tableColumn id="4" xr3:uid="{AAA504E9-B902-446B-AF6F-7779F8D52276}" name="Vitesse vent (m/s)" dataDxfId="16"/>
    <tableColumn id="5" xr3:uid="{6EB83450-99AC-448F-9FF7-812C57D4E47D}" name="Puissance  Eolienne (kW)" dataDxfId="15"/>
    <tableColumn id="9" xr3:uid="{34FEFDAB-5F2F-4722-B1D5-C9A72A4DBDAF}" name="Irradiance (W/m²)"/>
    <tableColumn id="10" xr3:uid="{89747F14-1EBF-436D-9452-04922C9B173C}" name="Puissance solaire  par panneaux (W)" dataDxfId="14">
      <calculatedColumnFormula>(Table1[[#This Row],[Irradiance (W/m²)]]*0.18)</calculatedColumnFormula>
    </tableColumn>
    <tableColumn id="11" xr3:uid="{87E7136B-6F77-4006-AA64-2DF3A6200B1D}" name="Puissance solaire  (kW)" dataDxfId="13">
      <calculatedColumnFormula>Table1[[#This Row],[Puissance solaire  par panneaux (W)]]*291/1000</calculatedColumnFormula>
    </tableColumn>
    <tableColumn id="12" xr3:uid="{530BEE7F-6140-4C6A-9DDF-48698542F456}" name="Surplus d'énergie à stocker (kWh)" dataDxfId="12">
      <calculatedColumnFormula>MIN(0,Table1[[#This Row],[Puissance consommée (kW)]]-(Table1[[#This Row],[Puissance  Eolienne (kW)]]+Table1[[#This Row],[Puissance solaire  (kW)]]))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7F9450-F299-4A59-B274-C6B5D4DB013B}" name="Table14" displayName="Table14" ref="B3:K78" totalsRowShown="0" headerRowDxfId="7">
  <autoFilter ref="B3:K78" xr:uid="{AD7F9450-F299-4A59-B274-C6B5D4DB013B}"/>
  <tableColumns count="10">
    <tableColumn id="1" xr3:uid="{C6D43F91-03FB-4F55-A175-FF13802108D4}" name="Heure de la journée "/>
    <tableColumn id="2" xr3:uid="{B85C0F51-115D-413D-88E0-CDDA6FE69DB8}" name="Puissance consommée (kW)"/>
    <tableColumn id="4" xr3:uid="{34A41EC0-C9E4-4804-8F4B-0678FB1BD514}" name="Vitesse vent (m/s)" dataDxfId="6"/>
    <tableColumn id="5" xr3:uid="{C68D8022-38E6-422D-8644-D6FF0F5E7357}" name="Puissance  Eolienne (kW)" dataDxfId="5"/>
    <tableColumn id="9" xr3:uid="{CF4BD6D5-17BB-4341-BAB8-0577F89F3FD5}" name="Irradiance (W/m²)"/>
    <tableColumn id="10" xr3:uid="{84274C9D-D96A-405C-AAC3-E039DB1AA5B6}" name="Puissance solaire  par panneaux (W)" dataDxfId="4">
      <calculatedColumnFormula>(Table14[[#This Row],[Irradiance (W/m²)]]*0.18)</calculatedColumnFormula>
    </tableColumn>
    <tableColumn id="11" xr3:uid="{31BE94BD-FBFF-440D-AB4F-67AE16B05AFA}" name="Puissance solaire  (kW)" dataDxfId="3">
      <calculatedColumnFormula>Table14[[#This Row],[Puissance solaire  par panneaux (W)]]*291/1000</calculatedColumnFormula>
    </tableColumn>
    <tableColumn id="12" xr3:uid="{FF685E5B-CE29-4FCB-B5AB-5EE5B7EE25CD}" name="Surplus d'énergie à stocker (kWh)" dataDxfId="1">
      <calculatedColumnFormula>ABS(MIN(0,Table14[[#This Row],[Puissance consommée (kW)]]-(Table14[[#This Row],[Puissance  Eolienne (kW)]]+Table14[[#This Row],[Puissance solaire  (kW)]])))</calculatedColumnFormula>
    </tableColumn>
    <tableColumn id="7" xr3:uid="{DA0A8BF7-E518-4E2A-86F0-725544E9AF4F}" name="Bilan Energétique " dataDxfId="2">
      <calculatedColumnFormula>Table14[[#This Row],[Puissance solaire  (kW)]]+Table14[[#This Row],[Puissance  Eolienne (kW)]]-Table14[[#This Row],[Puissance consommée (kW)]]</calculatedColumnFormula>
    </tableColumn>
    <tableColumn id="3" xr3:uid="{B9C619BD-51C6-4829-9E7E-44B9C4CD0E5A}" name="Enérgie stocké " dataDxfId="0">
      <calculatedColumnFormula>64.7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944FAE-9189-499F-9E40-DDAF196978D7}" name="Table2" displayName="Table2" ref="B5:C18" totalsRowShown="0" headerRowDxfId="11" dataDxfId="10">
  <autoFilter ref="B5:C18" xr:uid="{AA944FAE-9189-499F-9E40-DDAF196978D7}"/>
  <tableColumns count="2">
    <tableColumn id="1" xr3:uid="{F4164D7B-A971-4D3F-8E97-A4563F4F3BA0}" name="Wind speed (m/s)" dataDxfId="9"/>
    <tableColumn id="2" xr3:uid="{9BA2E29A-2C6C-4B30-BC95-2D2AE7C69F6B}" name="Power (kW)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2A07-5FB4-4218-AC65-4B455F09BC70}">
  <dimension ref="A1:K43"/>
  <sheetViews>
    <sheetView tabSelected="1" topLeftCell="A3" zoomScale="58" zoomScaleNormal="55" workbookViewId="0">
      <selection activeCell="F15" sqref="F15"/>
    </sheetView>
  </sheetViews>
  <sheetFormatPr defaultColWidth="9.140625" defaultRowHeight="15" x14ac:dyDescent="0.25"/>
  <cols>
    <col min="1" max="1" width="29.5703125" customWidth="1"/>
    <col min="2" max="2" width="30.85546875" customWidth="1"/>
    <col min="3" max="3" width="27.85546875" customWidth="1"/>
    <col min="4" max="4" width="26.5703125" customWidth="1"/>
    <col min="5" max="5" width="30.7109375" customWidth="1"/>
    <col min="6" max="6" width="33.140625" customWidth="1"/>
    <col min="7" max="7" width="31.85546875" customWidth="1"/>
    <col min="8" max="8" width="45.140625" customWidth="1"/>
    <col min="9" max="9" width="58" customWidth="1"/>
    <col min="10" max="10" width="9" customWidth="1"/>
  </cols>
  <sheetData>
    <row r="1" spans="1:11" ht="14.1" customHeight="1" x14ac:dyDescent="0.25"/>
    <row r="2" spans="1:11" ht="15.95" customHeight="1" x14ac:dyDescent="0.25"/>
    <row r="3" spans="1:11" ht="16.5" customHeight="1" x14ac:dyDescent="0.25">
      <c r="A3" s="2"/>
      <c r="B3" s="2"/>
      <c r="C3" s="2"/>
      <c r="D3" s="2"/>
      <c r="E3" s="2"/>
      <c r="F3" s="2"/>
      <c r="G3" s="2"/>
      <c r="H3" s="2"/>
      <c r="J3" s="2"/>
      <c r="K3" s="2"/>
    </row>
    <row r="4" spans="1:11" ht="41.1" customHeight="1" x14ac:dyDescent="0.25">
      <c r="A4" s="22" t="s">
        <v>1</v>
      </c>
      <c r="B4" s="22" t="s">
        <v>24</v>
      </c>
      <c r="C4" s="23" t="s">
        <v>2</v>
      </c>
      <c r="D4" s="24" t="s">
        <v>7</v>
      </c>
      <c r="E4" s="25" t="s">
        <v>3</v>
      </c>
      <c r="F4" s="26" t="s">
        <v>23</v>
      </c>
      <c r="G4" s="24" t="s">
        <v>19</v>
      </c>
      <c r="H4" s="22" t="s">
        <v>18</v>
      </c>
    </row>
    <row r="5" spans="1:11" x14ac:dyDescent="0.25">
      <c r="A5">
        <v>0</v>
      </c>
      <c r="B5">
        <v>30</v>
      </c>
      <c r="C5" s="3">
        <v>5.16</v>
      </c>
      <c r="D5" s="6">
        <v>26.8</v>
      </c>
      <c r="E5">
        <v>0</v>
      </c>
      <c r="F5" s="4">
        <f>(Table1[[#This Row],[Irradiance (W/m²)]]*0.18)</f>
        <v>0</v>
      </c>
      <c r="G5">
        <f>Table1[[#This Row],[Puissance solaire  par panneaux (W)]]*291/1000</f>
        <v>0</v>
      </c>
      <c r="H5" s="4">
        <f>MIN(0,Table1[[#This Row],[Puissance consommée (kW)]]-(Table1[[#This Row],[Puissance  Eolienne (kW)]]+Table1[[#This Row],[Puissance solaire  (kW)]]))</f>
        <v>0</v>
      </c>
      <c r="J5" s="1"/>
      <c r="K5" s="4"/>
    </row>
    <row r="6" spans="1:11" x14ac:dyDescent="0.25">
      <c r="A6">
        <v>1</v>
      </c>
      <c r="B6">
        <v>30</v>
      </c>
      <c r="C6" s="3">
        <v>5.18</v>
      </c>
      <c r="D6" s="6">
        <v>26.8</v>
      </c>
      <c r="E6">
        <v>0</v>
      </c>
      <c r="F6" s="4">
        <f>(Table1[[#This Row],[Irradiance (W/m²)]]*0.18)</f>
        <v>0</v>
      </c>
      <c r="G6">
        <f>Table1[[#This Row],[Puissance solaire  par panneaux (W)]]*291/1000</f>
        <v>0</v>
      </c>
      <c r="H6" s="4">
        <f>MIN(0,Table1[[#This Row],[Puissance consommée (kW)]]-(Table1[[#This Row],[Puissance  Eolienne (kW)]]+Table1[[#This Row],[Puissance solaire  (kW)]]))</f>
        <v>0</v>
      </c>
      <c r="J6" s="1"/>
      <c r="K6" s="4"/>
    </row>
    <row r="7" spans="1:11" x14ac:dyDescent="0.25">
      <c r="A7">
        <v>2</v>
      </c>
      <c r="B7">
        <v>30</v>
      </c>
      <c r="C7" s="3">
        <v>5.2</v>
      </c>
      <c r="D7" s="6">
        <v>26.8</v>
      </c>
      <c r="E7">
        <v>0</v>
      </c>
      <c r="F7" s="4">
        <f>(Table1[[#This Row],[Irradiance (W/m²)]]*0.18)</f>
        <v>0</v>
      </c>
      <c r="G7">
        <f>Table1[[#This Row],[Puissance solaire  par panneaux (W)]]*291/1000</f>
        <v>0</v>
      </c>
      <c r="H7" s="4">
        <f>MIN(0,Table1[[#This Row],[Puissance consommée (kW)]]-(Table1[[#This Row],[Puissance  Eolienne (kW)]]+Table1[[#This Row],[Puissance solaire  (kW)]]))</f>
        <v>0</v>
      </c>
      <c r="J7" s="1"/>
      <c r="K7" s="4"/>
    </row>
    <row r="8" spans="1:11" x14ac:dyDescent="0.25">
      <c r="A8">
        <v>3</v>
      </c>
      <c r="B8">
        <v>30</v>
      </c>
      <c r="C8" s="3">
        <v>5.2</v>
      </c>
      <c r="D8" s="6">
        <v>26.8</v>
      </c>
      <c r="E8">
        <v>0</v>
      </c>
      <c r="F8" s="4">
        <f>(Table1[[#This Row],[Irradiance (W/m²)]]*0.18)</f>
        <v>0</v>
      </c>
      <c r="G8">
        <f>Table1[[#This Row],[Puissance solaire  par panneaux (W)]]*291/1000</f>
        <v>0</v>
      </c>
      <c r="H8" s="4">
        <f>MIN(0,Table1[[#This Row],[Puissance consommée (kW)]]-(Table1[[#This Row],[Puissance  Eolienne (kW)]]+Table1[[#This Row],[Puissance solaire  (kW)]]))</f>
        <v>0</v>
      </c>
      <c r="J8" s="1"/>
      <c r="K8" s="4"/>
    </row>
    <row r="9" spans="1:11" x14ac:dyDescent="0.25">
      <c r="A9">
        <v>4</v>
      </c>
      <c r="B9">
        <v>30</v>
      </c>
      <c r="C9" s="3">
        <v>5.19</v>
      </c>
      <c r="D9" s="6">
        <v>26.8</v>
      </c>
      <c r="E9">
        <v>1</v>
      </c>
      <c r="F9" s="4">
        <f>(Table1[[#This Row],[Irradiance (W/m²)]]*0.18)</f>
        <v>0.18</v>
      </c>
      <c r="G9">
        <f>Table1[[#This Row],[Puissance solaire  par panneaux (W)]]*291/1000</f>
        <v>5.2379999999999996E-2</v>
      </c>
      <c r="H9" s="4">
        <f>MIN(0,Table1[[#This Row],[Puissance consommée (kW)]]-(Table1[[#This Row],[Puissance  Eolienne (kW)]]+Table1[[#This Row],[Puissance solaire  (kW)]]))</f>
        <v>0</v>
      </c>
      <c r="J9" s="1"/>
      <c r="K9" s="4"/>
    </row>
    <row r="10" spans="1:11" x14ac:dyDescent="0.25">
      <c r="A10">
        <v>5</v>
      </c>
      <c r="B10">
        <v>33</v>
      </c>
      <c r="C10" s="3">
        <v>5.17</v>
      </c>
      <c r="D10" s="6">
        <v>26.8</v>
      </c>
      <c r="E10">
        <v>13</v>
      </c>
      <c r="F10" s="4">
        <f>(Table1[[#This Row],[Irradiance (W/m²)]]*0.18)</f>
        <v>2.34</v>
      </c>
      <c r="G10">
        <f>Table1[[#This Row],[Puissance solaire  par panneaux (W)]]*291/1000</f>
        <v>0.68093999999999999</v>
      </c>
      <c r="H10" s="4">
        <f>MIN(0,Table1[[#This Row],[Puissance consommée (kW)]]-(Table1[[#This Row],[Puissance  Eolienne (kW)]]+Table1[[#This Row],[Puissance solaire  (kW)]]))</f>
        <v>0</v>
      </c>
      <c r="J10" s="1"/>
      <c r="K10" s="4"/>
    </row>
    <row r="11" spans="1:11" x14ac:dyDescent="0.25">
      <c r="A11">
        <v>6</v>
      </c>
      <c r="B11">
        <v>35</v>
      </c>
      <c r="C11" s="3">
        <v>5.16</v>
      </c>
      <c r="D11" s="6">
        <v>26.8</v>
      </c>
      <c r="E11">
        <v>81</v>
      </c>
      <c r="F11" s="4">
        <f>(Table1[[#This Row],[Irradiance (W/m²)]]*0.18)</f>
        <v>14.58</v>
      </c>
      <c r="G11">
        <f>Table1[[#This Row],[Puissance solaire  par panneaux (W)]]*291/1000</f>
        <v>4.2427799999999998</v>
      </c>
      <c r="H11" s="4">
        <f>MIN(0,Table1[[#This Row],[Puissance consommée (kW)]]-(Table1[[#This Row],[Puissance  Eolienne (kW)]]+Table1[[#This Row],[Puissance solaire  (kW)]]))</f>
        <v>0</v>
      </c>
      <c r="J11" s="1"/>
      <c r="K11" s="4"/>
    </row>
    <row r="12" spans="1:11" x14ac:dyDescent="0.25">
      <c r="A12">
        <v>7</v>
      </c>
      <c r="B12">
        <v>40</v>
      </c>
      <c r="C12" s="3">
        <v>5.2</v>
      </c>
      <c r="D12" s="6">
        <v>26.8</v>
      </c>
      <c r="E12">
        <v>217</v>
      </c>
      <c r="F12" s="4">
        <f>(Table1[[#This Row],[Irradiance (W/m²)]]*0.18)</f>
        <v>39.059999999999995</v>
      </c>
      <c r="G12">
        <f>Table1[[#This Row],[Puissance solaire  par panneaux (W)]]*291/1000</f>
        <v>11.36646</v>
      </c>
      <c r="H12" s="4">
        <f>MIN(0,Table1[[#This Row],[Puissance consommée (kW)]]-(Table1[[#This Row],[Puissance  Eolienne (kW)]]+Table1[[#This Row],[Puissance solaire  (kW)]]))</f>
        <v>0</v>
      </c>
      <c r="J12" s="1"/>
      <c r="K12" s="4"/>
    </row>
    <row r="13" spans="1:11" x14ac:dyDescent="0.25">
      <c r="A13">
        <v>8</v>
      </c>
      <c r="B13">
        <v>45</v>
      </c>
      <c r="C13" s="3">
        <v>5.26</v>
      </c>
      <c r="D13" s="6">
        <v>27.7</v>
      </c>
      <c r="E13">
        <v>389</v>
      </c>
      <c r="F13" s="4">
        <f>(Table1[[#This Row],[Irradiance (W/m²)]]*0.18)</f>
        <v>70.02</v>
      </c>
      <c r="G13">
        <f>Table1[[#This Row],[Puissance solaire  par panneaux (W)]]*291/1000</f>
        <v>20.375820000000001</v>
      </c>
      <c r="H13" s="4">
        <f>MIN(0,Table1[[#This Row],[Puissance consommée (kW)]]-(Table1[[#This Row],[Puissance  Eolienne (kW)]]+Table1[[#This Row],[Puissance solaire  (kW)]]))</f>
        <v>-3.0758200000000002</v>
      </c>
      <c r="J13" s="1"/>
      <c r="K13" s="4"/>
    </row>
    <row r="14" spans="1:11" x14ac:dyDescent="0.25">
      <c r="A14">
        <v>9</v>
      </c>
      <c r="B14">
        <v>50</v>
      </c>
      <c r="C14" s="3">
        <v>5.32</v>
      </c>
      <c r="D14" s="6">
        <v>27.7</v>
      </c>
      <c r="E14">
        <v>526</v>
      </c>
      <c r="F14" s="4">
        <f>(Table1[[#This Row],[Irradiance (W/m²)]]*0.18)</f>
        <v>94.679999999999993</v>
      </c>
      <c r="G14">
        <f>Table1[[#This Row],[Puissance solaire  par panneaux (W)]]*291/1000</f>
        <v>27.551879999999997</v>
      </c>
      <c r="H14" s="4">
        <f>MIN(0,Table1[[#This Row],[Puissance consommée (kW)]]-(Table1[[#This Row],[Puissance  Eolienne (kW)]]+Table1[[#This Row],[Puissance solaire  (kW)]]))</f>
        <v>-5.2518799999999999</v>
      </c>
      <c r="J14" s="1"/>
      <c r="K14" s="4"/>
    </row>
    <row r="15" spans="1:11" x14ac:dyDescent="0.25">
      <c r="A15">
        <v>10</v>
      </c>
      <c r="B15">
        <v>45</v>
      </c>
      <c r="C15" s="3">
        <v>5.39</v>
      </c>
      <c r="D15" s="6">
        <v>28.6</v>
      </c>
      <c r="E15">
        <v>616</v>
      </c>
      <c r="F15" s="4">
        <f>(Table1[[#This Row],[Irradiance (W/m²)]]*0.18)</f>
        <v>110.88</v>
      </c>
      <c r="G15">
        <f>Table1[[#This Row],[Puissance solaire  par panneaux (W)]]*291/1000</f>
        <v>32.266079999999995</v>
      </c>
      <c r="H15" s="4">
        <f>MIN(0,Table1[[#This Row],[Puissance consommée (kW)]]-(Table1[[#This Row],[Puissance  Eolienne (kW)]]+Table1[[#This Row],[Puissance solaire  (kW)]]))</f>
        <v>-15.866079999999997</v>
      </c>
      <c r="J15" s="1"/>
      <c r="K15" s="4"/>
    </row>
    <row r="16" spans="1:11" x14ac:dyDescent="0.25">
      <c r="A16">
        <v>11</v>
      </c>
      <c r="B16">
        <v>40</v>
      </c>
      <c r="C16" s="3">
        <v>5.46</v>
      </c>
      <c r="D16" s="6">
        <v>29.5</v>
      </c>
      <c r="E16">
        <v>654</v>
      </c>
      <c r="F16" s="4">
        <f>(Table1[[#This Row],[Irradiance (W/m²)]]*0.18)</f>
        <v>117.72</v>
      </c>
      <c r="G16">
        <f>Table1[[#This Row],[Puissance solaire  par panneaux (W)]]*291/1000</f>
        <v>34.256519999999995</v>
      </c>
      <c r="H16" s="4">
        <f>MIN(0,Table1[[#This Row],[Puissance consommée (kW)]]-(Table1[[#This Row],[Puissance  Eolienne (kW)]]+Table1[[#This Row],[Puissance solaire  (kW)]]))</f>
        <v>-23.756519999999995</v>
      </c>
      <c r="J16" s="1"/>
      <c r="K16" s="4"/>
    </row>
    <row r="17" spans="1:11" x14ac:dyDescent="0.25">
      <c r="A17">
        <v>12</v>
      </c>
      <c r="B17">
        <v>35</v>
      </c>
      <c r="C17" s="3">
        <v>5.53</v>
      </c>
      <c r="D17" s="6">
        <v>29.5</v>
      </c>
      <c r="E17">
        <v>640</v>
      </c>
      <c r="F17" s="4">
        <f>(Table1[[#This Row],[Irradiance (W/m²)]]*0.18)</f>
        <v>115.19999999999999</v>
      </c>
      <c r="G17">
        <f>Table1[[#This Row],[Puissance solaire  par panneaux (W)]]*291/1000</f>
        <v>33.523199999999996</v>
      </c>
      <c r="H17" s="4">
        <f>MIN(0,Table1[[#This Row],[Puissance consommée (kW)]]-(Table1[[#This Row],[Puissance  Eolienne (kW)]]+Table1[[#This Row],[Puissance solaire  (kW)]]))</f>
        <v>-28.023199999999996</v>
      </c>
      <c r="J17" s="1"/>
      <c r="K17" s="4"/>
    </row>
    <row r="18" spans="1:11" x14ac:dyDescent="0.25">
      <c r="A18">
        <v>13</v>
      </c>
      <c r="B18">
        <v>36</v>
      </c>
      <c r="C18" s="3">
        <v>5.6</v>
      </c>
      <c r="D18" s="6">
        <v>30.4</v>
      </c>
      <c r="E18">
        <v>573</v>
      </c>
      <c r="F18" s="4">
        <f>(Table1[[#This Row],[Irradiance (W/m²)]]*0.18)</f>
        <v>103.14</v>
      </c>
      <c r="G18">
        <f>Table1[[#This Row],[Puissance solaire  par panneaux (W)]]*291/1000</f>
        <v>30.013740000000002</v>
      </c>
      <c r="H18" s="4">
        <f>MIN(0,Table1[[#This Row],[Puissance consommée (kW)]]-(Table1[[#This Row],[Puissance  Eolienne (kW)]]+Table1[[#This Row],[Puissance solaire  (kW)]]))</f>
        <v>-24.413740000000004</v>
      </c>
      <c r="J18" s="1"/>
      <c r="K18" s="4"/>
    </row>
    <row r="19" spans="1:11" x14ac:dyDescent="0.25">
      <c r="A19">
        <v>14</v>
      </c>
      <c r="B19">
        <v>36</v>
      </c>
      <c r="C19" s="3">
        <v>5.57</v>
      </c>
      <c r="D19" s="6">
        <v>30.4</v>
      </c>
      <c r="E19">
        <v>462</v>
      </c>
      <c r="F19" s="4">
        <f>(Table1[[#This Row],[Irradiance (W/m²)]]*0.18)</f>
        <v>83.16</v>
      </c>
      <c r="G19">
        <f>Table1[[#This Row],[Puissance solaire  par panneaux (W)]]*291/1000</f>
        <v>24.199559999999998</v>
      </c>
      <c r="H19" s="4">
        <f>MIN(0,Table1[[#This Row],[Puissance consommée (kW)]]-(Table1[[#This Row],[Puissance  Eolienne (kW)]]+Table1[[#This Row],[Puissance solaire  (kW)]]))</f>
        <v>-18.599559999999997</v>
      </c>
      <c r="J19" s="1"/>
      <c r="K19" s="4"/>
    </row>
    <row r="20" spans="1:11" x14ac:dyDescent="0.25">
      <c r="A20">
        <v>15</v>
      </c>
      <c r="B20">
        <v>36</v>
      </c>
      <c r="C20" s="3">
        <v>5.5</v>
      </c>
      <c r="D20" s="6">
        <v>29.5</v>
      </c>
      <c r="E20">
        <v>311</v>
      </c>
      <c r="F20" s="4">
        <f>(Table1[[#This Row],[Irradiance (W/m²)]]*0.18)</f>
        <v>55.98</v>
      </c>
      <c r="G20">
        <f>Table1[[#This Row],[Puissance solaire  par panneaux (W)]]*291/1000</f>
        <v>16.290179999999999</v>
      </c>
      <c r="H20" s="4">
        <f>MIN(0,Table1[[#This Row],[Puissance consommée (kW)]]-(Table1[[#This Row],[Puissance  Eolienne (kW)]]+Table1[[#This Row],[Puissance solaire  (kW)]]))</f>
        <v>-9.7901799999999994</v>
      </c>
      <c r="J20" s="1"/>
      <c r="K20" s="4"/>
    </row>
    <row r="21" spans="1:11" x14ac:dyDescent="0.25">
      <c r="A21">
        <v>16</v>
      </c>
      <c r="B21">
        <v>35</v>
      </c>
      <c r="C21" s="3">
        <v>5.39</v>
      </c>
      <c r="D21" s="6">
        <v>28.6</v>
      </c>
      <c r="E21">
        <v>151</v>
      </c>
      <c r="F21" s="4">
        <f>(Table1[[#This Row],[Irradiance (W/m²)]]*0.18)</f>
        <v>27.18</v>
      </c>
      <c r="G21">
        <f>Table1[[#This Row],[Puissance solaire  par panneaux (W)]]*291/1000</f>
        <v>7.9093800000000005</v>
      </c>
      <c r="H21" s="4">
        <f>MIN(0,Table1[[#This Row],[Puissance consommée (kW)]]-(Table1[[#This Row],[Puissance  Eolienne (kW)]]+Table1[[#This Row],[Puissance solaire  (kW)]]))</f>
        <v>-1.5093800000000002</v>
      </c>
      <c r="J21" s="1"/>
      <c r="K21" s="4"/>
    </row>
    <row r="22" spans="1:11" x14ac:dyDescent="0.25">
      <c r="A22">
        <v>17</v>
      </c>
      <c r="B22">
        <v>40</v>
      </c>
      <c r="C22" s="3">
        <v>5.25</v>
      </c>
      <c r="D22" s="6">
        <v>27.7</v>
      </c>
      <c r="E22">
        <v>47</v>
      </c>
      <c r="F22" s="4">
        <f>(Table1[[#This Row],[Irradiance (W/m²)]]*0.18)</f>
        <v>8.4599999999999991</v>
      </c>
      <c r="G22">
        <f>Table1[[#This Row],[Puissance solaire  par panneaux (W)]]*291/1000</f>
        <v>2.4618599999999997</v>
      </c>
      <c r="H22" s="4">
        <f>MIN(0,Table1[[#This Row],[Puissance consommée (kW)]]-(Table1[[#This Row],[Puissance  Eolienne (kW)]]+Table1[[#This Row],[Puissance solaire  (kW)]]))</f>
        <v>0</v>
      </c>
      <c r="J22" s="1"/>
      <c r="K22" s="4"/>
    </row>
    <row r="23" spans="1:11" x14ac:dyDescent="0.25">
      <c r="A23">
        <v>18</v>
      </c>
      <c r="B23">
        <v>47</v>
      </c>
      <c r="C23" s="3">
        <v>5.13</v>
      </c>
      <c r="D23" s="6">
        <v>25.9</v>
      </c>
      <c r="E23">
        <v>7</v>
      </c>
      <c r="F23" s="4">
        <f>(Table1[[#This Row],[Irradiance (W/m²)]]*0.18)</f>
        <v>1.26</v>
      </c>
      <c r="G23">
        <f>Table1[[#This Row],[Puissance solaire  par panneaux (W)]]*291/1000</f>
        <v>0.36666000000000004</v>
      </c>
      <c r="H23" s="4">
        <f>MIN(0,Table1[[#This Row],[Puissance consommée (kW)]]-(Table1[[#This Row],[Puissance  Eolienne (kW)]]+Table1[[#This Row],[Puissance solaire  (kW)]]))</f>
        <v>0</v>
      </c>
      <c r="J23" s="1"/>
      <c r="K23" s="4"/>
    </row>
    <row r="24" spans="1:11" x14ac:dyDescent="0.25">
      <c r="A24">
        <v>19</v>
      </c>
      <c r="B24">
        <v>50</v>
      </c>
      <c r="C24" s="3">
        <v>5.0999999999999996</v>
      </c>
      <c r="D24" s="6">
        <v>25.9</v>
      </c>
      <c r="E24">
        <v>0</v>
      </c>
      <c r="F24" s="4">
        <f>(Table1[[#This Row],[Irradiance (W/m²)]]*0.18)</f>
        <v>0</v>
      </c>
      <c r="G24">
        <f>Table1[[#This Row],[Puissance solaire  par panneaux (W)]]*291/1000</f>
        <v>0</v>
      </c>
      <c r="H24" s="4">
        <f>MIN(0,Table1[[#This Row],[Puissance consommée (kW)]]-(Table1[[#This Row],[Puissance  Eolienne (kW)]]+Table1[[#This Row],[Puissance solaire  (kW)]]))</f>
        <v>0</v>
      </c>
      <c r="J24" s="1"/>
      <c r="K24" s="4"/>
    </row>
    <row r="25" spans="1:11" x14ac:dyDescent="0.25">
      <c r="A25">
        <v>20</v>
      </c>
      <c r="B25">
        <v>47</v>
      </c>
      <c r="C25" s="3">
        <v>5.1100000000000003</v>
      </c>
      <c r="D25" s="6">
        <v>25.9</v>
      </c>
      <c r="E25">
        <v>0</v>
      </c>
      <c r="F25" s="4">
        <f>(Table1[[#This Row],[Irradiance (W/m²)]]*0.18)</f>
        <v>0</v>
      </c>
      <c r="G25">
        <f>Table1[[#This Row],[Puissance solaire  par panneaux (W)]]*291/1000</f>
        <v>0</v>
      </c>
      <c r="H25" s="4">
        <f>MIN(0,Table1[[#This Row],[Puissance consommée (kW)]]-(Table1[[#This Row],[Puissance  Eolienne (kW)]]+Table1[[#This Row],[Puissance solaire  (kW)]]))</f>
        <v>0</v>
      </c>
      <c r="J25" s="1"/>
      <c r="K25" s="4"/>
    </row>
    <row r="26" spans="1:11" x14ac:dyDescent="0.25">
      <c r="A26">
        <v>21</v>
      </c>
      <c r="B26">
        <v>40</v>
      </c>
      <c r="C26" s="3">
        <v>5.13</v>
      </c>
      <c r="D26" s="6">
        <v>25.9</v>
      </c>
      <c r="E26">
        <v>0</v>
      </c>
      <c r="F26" s="4">
        <f>(Table1[[#This Row],[Irradiance (W/m²)]]*0.18)</f>
        <v>0</v>
      </c>
      <c r="G26">
        <f>Table1[[#This Row],[Puissance solaire  par panneaux (W)]]*291/1000</f>
        <v>0</v>
      </c>
      <c r="H26" s="4">
        <f>MIN(0,Table1[[#This Row],[Puissance consommée (kW)]]-(Table1[[#This Row],[Puissance  Eolienne (kW)]]+Table1[[#This Row],[Puissance solaire  (kW)]]))</f>
        <v>0</v>
      </c>
      <c r="J26" s="1"/>
      <c r="K26" s="4"/>
    </row>
    <row r="27" spans="1:11" x14ac:dyDescent="0.25">
      <c r="A27">
        <v>22</v>
      </c>
      <c r="B27">
        <v>35</v>
      </c>
      <c r="C27" s="3">
        <v>5.14</v>
      </c>
      <c r="D27" s="6">
        <v>25.9</v>
      </c>
      <c r="E27">
        <v>0</v>
      </c>
      <c r="F27" s="4">
        <f>(Table1[[#This Row],[Irradiance (W/m²)]]*0.18)</f>
        <v>0</v>
      </c>
      <c r="G27">
        <f>Table1[[#This Row],[Puissance solaire  par panneaux (W)]]*291/1000</f>
        <v>0</v>
      </c>
      <c r="H27" s="4">
        <f>MIN(0,Table1[[#This Row],[Puissance consommée (kW)]]-(Table1[[#This Row],[Puissance  Eolienne (kW)]]+Table1[[#This Row],[Puissance solaire  (kW)]]))</f>
        <v>0</v>
      </c>
      <c r="J27" s="1"/>
      <c r="K27" s="4"/>
    </row>
    <row r="28" spans="1:11" x14ac:dyDescent="0.25">
      <c r="A28">
        <v>23</v>
      </c>
      <c r="B28">
        <v>28</v>
      </c>
      <c r="C28" s="3">
        <v>5.14</v>
      </c>
      <c r="D28" s="6">
        <v>25.9</v>
      </c>
      <c r="E28">
        <v>0</v>
      </c>
      <c r="F28" s="4">
        <f>(Table1[[#This Row],[Irradiance (W/m²)]]*0.18)</f>
        <v>0</v>
      </c>
      <c r="G28">
        <f>Table1[[#This Row],[Puissance solaire  par panneaux (W)]]*291/1000</f>
        <v>0</v>
      </c>
      <c r="H28" s="4">
        <f>MIN(0,Table1[[#This Row],[Puissance consommée (kW)]]-(Table1[[#This Row],[Puissance  Eolienne (kW)]]+Table1[[#This Row],[Puissance solaire  (kW)]]))</f>
        <v>0</v>
      </c>
      <c r="J28" s="1"/>
      <c r="K28" s="4"/>
    </row>
    <row r="29" spans="1:11" x14ac:dyDescent="0.25">
      <c r="A29">
        <v>24</v>
      </c>
      <c r="B29">
        <v>28</v>
      </c>
      <c r="C29" s="3">
        <v>5.16</v>
      </c>
      <c r="D29" s="6">
        <v>26.8</v>
      </c>
      <c r="E29">
        <v>0</v>
      </c>
      <c r="F29" s="4">
        <f>(Table1[[#This Row],[Irradiance (W/m²)]]*0.18)</f>
        <v>0</v>
      </c>
      <c r="G29">
        <f>Table1[[#This Row],[Puissance solaire  par panneaux (W)]]*291/1000</f>
        <v>0</v>
      </c>
      <c r="H29" s="4">
        <f>MIN(0,Table1[[#This Row],[Puissance consommée (kW)]]-(Table1[[#This Row],[Puissance  Eolienne (kW)]]+Table1[[#This Row],[Puissance solaire  (kW)]]))</f>
        <v>0</v>
      </c>
      <c r="J29" s="1"/>
      <c r="K29" s="4"/>
    </row>
    <row r="30" spans="1:11" ht="15.75" thickBot="1" x14ac:dyDescent="0.3"/>
    <row r="31" spans="1:11" ht="24.6" customHeight="1" x14ac:dyDescent="0.25">
      <c r="A31" s="27" t="s">
        <v>22</v>
      </c>
      <c r="B31" s="31">
        <f>SUM(B5:B29)</f>
        <v>931</v>
      </c>
      <c r="C31" s="27" t="s">
        <v>21</v>
      </c>
      <c r="D31" s="30">
        <f>SUM(Table1[Puissance  Eolienne (kW)])</f>
        <v>686.19999999999982</v>
      </c>
      <c r="E31" s="27" t="s">
        <v>20</v>
      </c>
      <c r="F31" s="28">
        <f>SUM(Table1[Puissance solaire  par panneaux (W)])/1000</f>
        <v>0.84384000000000003</v>
      </c>
      <c r="G31" s="20" t="s">
        <v>15</v>
      </c>
      <c r="H31" s="21">
        <f>SUM(Table1[Surplus d''énergie à stocker (kWh)])</f>
        <v>-130.28635999999997</v>
      </c>
    </row>
    <row r="32" spans="1:11" ht="28.5" customHeight="1" thickBot="1" x14ac:dyDescent="0.3">
      <c r="B32" s="32" t="s">
        <v>0</v>
      </c>
      <c r="D32" s="29" t="s">
        <v>8</v>
      </c>
      <c r="F32" s="29" t="s">
        <v>9</v>
      </c>
      <c r="G32" s="12"/>
      <c r="H32" s="14" t="s">
        <v>9</v>
      </c>
    </row>
    <row r="33" spans="3:7" ht="15.75" customHeight="1" x14ac:dyDescent="0.25">
      <c r="F33" s="9"/>
      <c r="G33" s="5"/>
    </row>
    <row r="34" spans="3:7" ht="26.1" customHeight="1" x14ac:dyDescent="0.25">
      <c r="C34" s="13" t="s">
        <v>10</v>
      </c>
      <c r="D34" s="15">
        <f>B31-D31</f>
        <v>244.80000000000018</v>
      </c>
      <c r="E34" s="13" t="s">
        <v>11</v>
      </c>
      <c r="F34" s="16">
        <f>D34/F31</f>
        <v>290.1023890784985</v>
      </c>
    </row>
    <row r="35" spans="3:7" ht="37.5" customHeight="1" x14ac:dyDescent="0.25">
      <c r="C35" s="11"/>
      <c r="D35" s="15" t="s">
        <v>9</v>
      </c>
      <c r="E35" s="10" t="s">
        <v>12</v>
      </c>
      <c r="F35" s="17">
        <v>291</v>
      </c>
    </row>
    <row r="36" spans="3:7" x14ac:dyDescent="0.25">
      <c r="F36" s="5"/>
    </row>
    <row r="37" spans="3:7" x14ac:dyDescent="0.25">
      <c r="F37" s="5"/>
    </row>
    <row r="38" spans="3:7" x14ac:dyDescent="0.25">
      <c r="F38" s="5"/>
    </row>
    <row r="39" spans="3:7" ht="29.1" customHeight="1" x14ac:dyDescent="0.25">
      <c r="E39" s="10" t="s">
        <v>13</v>
      </c>
      <c r="F39" s="18">
        <v>2.4</v>
      </c>
    </row>
    <row r="40" spans="3:7" ht="18" customHeight="1" x14ac:dyDescent="0.25">
      <c r="E40" s="10" t="s">
        <v>14</v>
      </c>
      <c r="F40" s="19">
        <v>0.7</v>
      </c>
    </row>
    <row r="41" spans="3:7" ht="23.1" customHeight="1" x14ac:dyDescent="0.25">
      <c r="E41" s="10" t="s">
        <v>16</v>
      </c>
      <c r="F41" s="11">
        <f>ABS(H31)/(F40*F39)</f>
        <v>77.551404761904749</v>
      </c>
    </row>
    <row r="42" spans="3:7" ht="24" customHeight="1" x14ac:dyDescent="0.25">
      <c r="E42" s="13" t="s">
        <v>17</v>
      </c>
      <c r="F42" s="15">
        <v>78</v>
      </c>
    </row>
    <row r="43" spans="3:7" ht="18.95" customHeight="1" x14ac:dyDescent="0.25"/>
  </sheetData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1DCD8-B032-4077-B03A-E7032B78074A}">
  <dimension ref="B3:M89"/>
  <sheetViews>
    <sheetView zoomScale="40" zoomScaleNormal="40" workbookViewId="0">
      <selection activeCell="L97" sqref="L97"/>
    </sheetView>
  </sheetViews>
  <sheetFormatPr defaultRowHeight="15" x14ac:dyDescent="0.25"/>
  <cols>
    <col min="2" max="2" width="23.85546875" customWidth="1"/>
    <col min="3" max="3" width="27.7109375" customWidth="1"/>
    <col min="4" max="4" width="30.5703125" customWidth="1"/>
    <col min="5" max="5" width="41.28515625" customWidth="1"/>
    <col min="6" max="6" width="16.42578125" customWidth="1"/>
    <col min="7" max="7" width="15.42578125" customWidth="1"/>
    <col min="8" max="8" width="16.85546875" customWidth="1"/>
    <col min="9" max="9" width="49.140625" customWidth="1"/>
    <col min="10" max="10" width="31.5703125" customWidth="1"/>
    <col min="11" max="11" width="44.7109375" customWidth="1"/>
  </cols>
  <sheetData>
    <row r="3" spans="2:13" ht="30" x14ac:dyDescent="0.25">
      <c r="B3" s="22" t="s">
        <v>1</v>
      </c>
      <c r="C3" s="22" t="s">
        <v>24</v>
      </c>
      <c r="D3" s="23" t="s">
        <v>2</v>
      </c>
      <c r="E3" s="24" t="s">
        <v>7</v>
      </c>
      <c r="F3" s="25" t="s">
        <v>3</v>
      </c>
      <c r="G3" s="26" t="s">
        <v>23</v>
      </c>
      <c r="H3" s="24" t="s">
        <v>19</v>
      </c>
      <c r="I3" s="22" t="s">
        <v>18</v>
      </c>
      <c r="J3" s="22" t="s">
        <v>26</v>
      </c>
      <c r="K3" s="22" t="s">
        <v>25</v>
      </c>
    </row>
    <row r="4" spans="2:13" x14ac:dyDescent="0.25">
      <c r="B4">
        <v>0</v>
      </c>
      <c r="C4">
        <v>30</v>
      </c>
      <c r="D4" s="3">
        <v>5.16</v>
      </c>
      <c r="E4" s="6">
        <v>26.8</v>
      </c>
      <c r="F4">
        <v>0</v>
      </c>
      <c r="G4" s="4">
        <f>(Table14[[#This Row],[Irradiance (W/m²)]]*0.18)</f>
        <v>0</v>
      </c>
      <c r="H4">
        <f>Table14[[#This Row],[Puissance solaire  par panneaux (W)]]*291/1000</f>
        <v>0</v>
      </c>
      <c r="I4" s="4">
        <f>ABS(MIN(0,Table14[[#This Row],[Puissance consommée (kW)]]-(Table14[[#This Row],[Puissance  Eolienne (kW)]]+Table14[[#This Row],[Puissance solaire  (kW)]])))</f>
        <v>0</v>
      </c>
      <c r="J4" s="4">
        <f>Table14[[#This Row],[Puissance solaire  (kW)]]+Table14[[#This Row],[Puissance  Eolienne (kW)]]-Table14[[#This Row],[Puissance consommée (kW)]]</f>
        <v>-3.1999999999999993</v>
      </c>
      <c r="K4" s="4">
        <f>64.7</f>
        <v>64.7</v>
      </c>
    </row>
    <row r="5" spans="2:13" x14ac:dyDescent="0.25">
      <c r="B5">
        <v>1</v>
      </c>
      <c r="C5">
        <v>30</v>
      </c>
      <c r="D5" s="3">
        <v>5.18</v>
      </c>
      <c r="E5" s="6">
        <v>26.8</v>
      </c>
      <c r="F5">
        <v>0</v>
      </c>
      <c r="G5" s="4">
        <f>(Table14[[#This Row],[Irradiance (W/m²)]]*0.18)</f>
        <v>0</v>
      </c>
      <c r="H5">
        <f>Table14[[#This Row],[Puissance solaire  par panneaux (W)]]*291/1000</f>
        <v>0</v>
      </c>
      <c r="I5" s="4">
        <f>ABS(MIN(0,Table14[[#This Row],[Puissance consommée (kW)]]-(Table14[[#This Row],[Puissance  Eolienne (kW)]]+Table14[[#This Row],[Puissance solaire  (kW)]])))</f>
        <v>0</v>
      </c>
      <c r="J5" s="4">
        <f>Table14[[#This Row],[Puissance solaire  (kW)]]+Table14[[#This Row],[Puissance  Eolienne (kW)]]-Table14[[#This Row],[Puissance consommée (kW)]]</f>
        <v>-3.1999999999999993</v>
      </c>
      <c r="K5" s="4">
        <v>61.5</v>
      </c>
    </row>
    <row r="6" spans="2:13" x14ac:dyDescent="0.25">
      <c r="B6">
        <v>2</v>
      </c>
      <c r="C6">
        <v>30</v>
      </c>
      <c r="D6" s="3">
        <v>5.2</v>
      </c>
      <c r="E6" s="6">
        <v>26.8</v>
      </c>
      <c r="F6">
        <v>0</v>
      </c>
      <c r="G6" s="4">
        <f>(Table14[[#This Row],[Irradiance (W/m²)]]*0.18)</f>
        <v>0</v>
      </c>
      <c r="H6">
        <f>Table14[[#This Row],[Puissance solaire  par panneaux (W)]]*291/1000</f>
        <v>0</v>
      </c>
      <c r="I6" s="4">
        <f>ABS(MIN(0,Table14[[#This Row],[Puissance consommée (kW)]]-(Table14[[#This Row],[Puissance  Eolienne (kW)]]+Table14[[#This Row],[Puissance solaire  (kW)]])))</f>
        <v>0</v>
      </c>
      <c r="J6" s="4">
        <f>Table14[[#This Row],[Puissance solaire  (kW)]]+Table14[[#This Row],[Puissance  Eolienne (kW)]]-Table14[[#This Row],[Puissance consommée (kW)]]</f>
        <v>-3.1999999999999993</v>
      </c>
      <c r="K6" s="4">
        <v>58.3</v>
      </c>
    </row>
    <row r="7" spans="2:13" x14ac:dyDescent="0.25">
      <c r="B7">
        <v>3</v>
      </c>
      <c r="C7">
        <v>30</v>
      </c>
      <c r="D7" s="3">
        <v>5.2</v>
      </c>
      <c r="E7" s="6">
        <v>26.8</v>
      </c>
      <c r="F7">
        <v>0</v>
      </c>
      <c r="G7" s="4">
        <f>(Table14[[#This Row],[Irradiance (W/m²)]]*0.18)</f>
        <v>0</v>
      </c>
      <c r="H7">
        <f>Table14[[#This Row],[Puissance solaire  par panneaux (W)]]*291/1000</f>
        <v>0</v>
      </c>
      <c r="I7" s="4">
        <f>ABS(MIN(0,Table14[[#This Row],[Puissance consommée (kW)]]-(Table14[[#This Row],[Puissance  Eolienne (kW)]]+Table14[[#This Row],[Puissance solaire  (kW)]])))</f>
        <v>0</v>
      </c>
      <c r="J7" s="4">
        <f>Table14[[#This Row],[Puissance solaire  (kW)]]+Table14[[#This Row],[Puissance  Eolienne (kW)]]-Table14[[#This Row],[Puissance consommée (kW)]]</f>
        <v>-3.1999999999999993</v>
      </c>
      <c r="K7" s="4">
        <v>55.1</v>
      </c>
    </row>
    <row r="8" spans="2:13" x14ac:dyDescent="0.25">
      <c r="B8">
        <v>4</v>
      </c>
      <c r="C8">
        <v>30</v>
      </c>
      <c r="D8" s="3">
        <v>5.19</v>
      </c>
      <c r="E8" s="6">
        <v>26.8</v>
      </c>
      <c r="F8">
        <v>1</v>
      </c>
      <c r="G8" s="4">
        <f>(Table14[[#This Row],[Irradiance (W/m²)]]*0.18)</f>
        <v>0.18</v>
      </c>
      <c r="H8">
        <f>Table14[[#This Row],[Puissance solaire  par panneaux (W)]]*291/1000</f>
        <v>5.2379999999999996E-2</v>
      </c>
      <c r="I8" s="4">
        <f>ABS(MIN(0,Table14[[#This Row],[Puissance consommée (kW)]]-(Table14[[#This Row],[Puissance  Eolienne (kW)]]+Table14[[#This Row],[Puissance solaire  (kW)]])))</f>
        <v>0</v>
      </c>
      <c r="J8" s="4">
        <f>Table14[[#This Row],[Puissance solaire  (kW)]]+Table14[[#This Row],[Puissance  Eolienne (kW)]]-Table14[[#This Row],[Puissance consommée (kW)]]</f>
        <v>-3.1476199999999999</v>
      </c>
      <c r="K8" s="4">
        <v>51.9</v>
      </c>
    </row>
    <row r="9" spans="2:13" x14ac:dyDescent="0.25">
      <c r="B9">
        <v>5</v>
      </c>
      <c r="C9">
        <v>33</v>
      </c>
      <c r="D9" s="3">
        <v>5.17</v>
      </c>
      <c r="E9" s="6">
        <v>26.8</v>
      </c>
      <c r="F9">
        <v>13</v>
      </c>
      <c r="G9" s="4">
        <f>(Table14[[#This Row],[Irradiance (W/m²)]]*0.18)</f>
        <v>2.34</v>
      </c>
      <c r="H9">
        <f>Table14[[#This Row],[Puissance solaire  par panneaux (W)]]*291/1000</f>
        <v>0.68093999999999999</v>
      </c>
      <c r="I9" s="4">
        <f>ABS(MIN(0,Table14[[#This Row],[Puissance consommée (kW)]]-(Table14[[#This Row],[Puissance  Eolienne (kW)]]+Table14[[#This Row],[Puissance solaire  (kW)]])))</f>
        <v>0</v>
      </c>
      <c r="J9" s="4">
        <f>Table14[[#This Row],[Puissance solaire  (kW)]]+Table14[[#This Row],[Puissance  Eolienne (kW)]]-Table14[[#This Row],[Puissance consommée (kW)]]</f>
        <v>-5.5190599999999996</v>
      </c>
      <c r="K9" s="4">
        <v>48.75</v>
      </c>
    </row>
    <row r="10" spans="2:13" x14ac:dyDescent="0.25">
      <c r="B10">
        <v>6</v>
      </c>
      <c r="C10">
        <v>35</v>
      </c>
      <c r="D10" s="3">
        <v>5.16</v>
      </c>
      <c r="E10" s="6">
        <v>26.8</v>
      </c>
      <c r="F10">
        <v>81</v>
      </c>
      <c r="G10" s="4">
        <f>(Table14[[#This Row],[Irradiance (W/m²)]]*0.18)</f>
        <v>14.58</v>
      </c>
      <c r="H10">
        <f>Table14[[#This Row],[Puissance solaire  par panneaux (W)]]*291/1000</f>
        <v>4.2427799999999998</v>
      </c>
      <c r="I10" s="4">
        <f>ABS(MIN(0,Table14[[#This Row],[Puissance consommée (kW)]]-(Table14[[#This Row],[Puissance  Eolienne (kW)]]+Table14[[#This Row],[Puissance solaire  (kW)]])))</f>
        <v>0</v>
      </c>
      <c r="J10" s="4">
        <f>Table14[[#This Row],[Puissance solaire  (kW)]]+Table14[[#This Row],[Puissance  Eolienne (kW)]]-Table14[[#This Row],[Puissance consommée (kW)]]</f>
        <v>-3.9572199999999995</v>
      </c>
      <c r="K10" s="4">
        <v>43.23</v>
      </c>
    </row>
    <row r="11" spans="2:13" x14ac:dyDescent="0.25">
      <c r="B11">
        <v>7</v>
      </c>
      <c r="C11">
        <v>40</v>
      </c>
      <c r="D11" s="3">
        <v>5.2</v>
      </c>
      <c r="E11" s="6">
        <v>26.8</v>
      </c>
      <c r="F11">
        <v>217</v>
      </c>
      <c r="G11" s="4">
        <f>(Table14[[#This Row],[Irradiance (W/m²)]]*0.18)</f>
        <v>39.059999999999995</v>
      </c>
      <c r="H11">
        <f>Table14[[#This Row],[Puissance solaire  par panneaux (W)]]*291/1000</f>
        <v>11.36646</v>
      </c>
      <c r="I11" s="4">
        <f>ABS(MIN(0,Table14[[#This Row],[Puissance consommée (kW)]]-(Table14[[#This Row],[Puissance  Eolienne (kW)]]+Table14[[#This Row],[Puissance solaire  (kW)]])))</f>
        <v>0</v>
      </c>
      <c r="J11" s="4">
        <f>Table14[[#This Row],[Puissance solaire  (kW)]]+Table14[[#This Row],[Puissance  Eolienne (kW)]]-Table14[[#This Row],[Puissance consommée (kW)]]</f>
        <v>-1.8335399999999993</v>
      </c>
      <c r="K11" s="4">
        <v>39.270000000000003</v>
      </c>
      <c r="M11" t="s">
        <v>27</v>
      </c>
    </row>
    <row r="12" spans="2:13" x14ac:dyDescent="0.25">
      <c r="B12">
        <v>8</v>
      </c>
      <c r="C12">
        <v>45</v>
      </c>
      <c r="D12" s="3">
        <v>5.26</v>
      </c>
      <c r="E12" s="6">
        <v>27.7</v>
      </c>
      <c r="F12">
        <v>389</v>
      </c>
      <c r="G12" s="4">
        <f>(Table14[[#This Row],[Irradiance (W/m²)]]*0.18)</f>
        <v>70.02</v>
      </c>
      <c r="H12">
        <f>Table14[[#This Row],[Puissance solaire  par panneaux (W)]]*291/1000</f>
        <v>20.375820000000001</v>
      </c>
      <c r="I12" s="4">
        <f>ABS(MIN(0,Table14[[#This Row],[Puissance consommée (kW)]]-(Table14[[#This Row],[Puissance  Eolienne (kW)]]+Table14[[#This Row],[Puissance solaire  (kW)]])))</f>
        <v>3.0758200000000002</v>
      </c>
      <c r="J12" s="4">
        <f>Table14[[#This Row],[Puissance solaire  (kW)]]+Table14[[#This Row],[Puissance  Eolienne (kW)]]-Table14[[#This Row],[Puissance consommée (kW)]]</f>
        <v>3.0758200000000002</v>
      </c>
      <c r="K12" s="4">
        <v>37.44</v>
      </c>
      <c r="M12">
        <f xml:space="preserve"> 2.4 * 0.2 *78</f>
        <v>37.44</v>
      </c>
    </row>
    <row r="13" spans="2:13" x14ac:dyDescent="0.25">
      <c r="B13">
        <v>9</v>
      </c>
      <c r="C13">
        <v>50</v>
      </c>
      <c r="D13" s="3">
        <v>5.32</v>
      </c>
      <c r="E13" s="6">
        <v>27.7</v>
      </c>
      <c r="F13">
        <v>526</v>
      </c>
      <c r="G13" s="4">
        <f>(Table14[[#This Row],[Irradiance (W/m²)]]*0.18)</f>
        <v>94.679999999999993</v>
      </c>
      <c r="H13">
        <f>Table14[[#This Row],[Puissance solaire  par panneaux (W)]]*291/1000</f>
        <v>27.551879999999997</v>
      </c>
      <c r="I13" s="4">
        <f>ABS(MIN(0,Table14[[#This Row],[Puissance consommée (kW)]]-(Table14[[#This Row],[Puissance  Eolienne (kW)]]+Table14[[#This Row],[Puissance solaire  (kW)]])))</f>
        <v>5.2518799999999999</v>
      </c>
      <c r="J13" s="4">
        <f>Table14[[#This Row],[Puissance solaire  (kW)]]+Table14[[#This Row],[Puissance  Eolienne (kW)]]-Table14[[#This Row],[Puissance consommée (kW)]]</f>
        <v>5.2518799999999999</v>
      </c>
      <c r="K13" s="4">
        <v>40.520000000000003</v>
      </c>
    </row>
    <row r="14" spans="2:13" x14ac:dyDescent="0.25">
      <c r="B14">
        <v>10</v>
      </c>
      <c r="C14">
        <v>45</v>
      </c>
      <c r="D14" s="3">
        <v>5.39</v>
      </c>
      <c r="E14" s="6">
        <v>28.6</v>
      </c>
      <c r="F14">
        <v>616</v>
      </c>
      <c r="G14" s="4">
        <f>(Table14[[#This Row],[Irradiance (W/m²)]]*0.18)</f>
        <v>110.88</v>
      </c>
      <c r="H14">
        <f>Table14[[#This Row],[Puissance solaire  par panneaux (W)]]*291/1000</f>
        <v>32.266079999999995</v>
      </c>
      <c r="I14" s="4">
        <f>ABS(MIN(0,Table14[[#This Row],[Puissance consommée (kW)]]-(Table14[[#This Row],[Puissance  Eolienne (kW)]]+Table14[[#This Row],[Puissance solaire  (kW)]])))</f>
        <v>15.866079999999997</v>
      </c>
      <c r="J14" s="4">
        <f>Table14[[#This Row],[Puissance solaire  (kW)]]+Table14[[#This Row],[Puissance  Eolienne (kW)]]-Table14[[#This Row],[Puissance consommée (kW)]]</f>
        <v>15.866079999999997</v>
      </c>
      <c r="K14" s="4">
        <v>45.77</v>
      </c>
    </row>
    <row r="15" spans="2:13" x14ac:dyDescent="0.25">
      <c r="B15">
        <v>11</v>
      </c>
      <c r="C15">
        <v>40</v>
      </c>
      <c r="D15" s="3">
        <v>5.46</v>
      </c>
      <c r="E15" s="6">
        <v>29.5</v>
      </c>
      <c r="F15">
        <v>654</v>
      </c>
      <c r="G15" s="4">
        <f>(Table14[[#This Row],[Irradiance (W/m²)]]*0.18)</f>
        <v>117.72</v>
      </c>
      <c r="H15">
        <f>Table14[[#This Row],[Puissance solaire  par panneaux (W)]]*291/1000</f>
        <v>34.256519999999995</v>
      </c>
      <c r="I15" s="4">
        <f>ABS(MIN(0,Table14[[#This Row],[Puissance consommée (kW)]]-(Table14[[#This Row],[Puissance  Eolienne (kW)]]+Table14[[#This Row],[Puissance solaire  (kW)]])))</f>
        <v>23.756519999999995</v>
      </c>
      <c r="J15" s="4">
        <f>Table14[[#This Row],[Puissance solaire  (kW)]]+Table14[[#This Row],[Puissance  Eolienne (kW)]]-Table14[[#This Row],[Puissance consommée (kW)]]</f>
        <v>23.756519999999995</v>
      </c>
      <c r="K15" s="4">
        <v>61.64</v>
      </c>
    </row>
    <row r="16" spans="2:13" x14ac:dyDescent="0.25">
      <c r="B16">
        <v>12</v>
      </c>
      <c r="C16">
        <v>35</v>
      </c>
      <c r="D16" s="3">
        <v>5.53</v>
      </c>
      <c r="E16" s="6">
        <v>29.5</v>
      </c>
      <c r="F16">
        <v>640</v>
      </c>
      <c r="G16" s="4">
        <f>(Table14[[#This Row],[Irradiance (W/m²)]]*0.18)</f>
        <v>115.19999999999999</v>
      </c>
      <c r="H16">
        <f>Table14[[#This Row],[Puissance solaire  par panneaux (W)]]*291/1000</f>
        <v>33.523199999999996</v>
      </c>
      <c r="I16" s="4">
        <f>ABS(MIN(0,Table14[[#This Row],[Puissance consommée (kW)]]-(Table14[[#This Row],[Puissance  Eolienne (kW)]]+Table14[[#This Row],[Puissance solaire  (kW)]])))</f>
        <v>28.023199999999996</v>
      </c>
      <c r="J16" s="4">
        <f>Table14[[#This Row],[Puissance solaire  (kW)]]+Table14[[#This Row],[Puissance  Eolienne (kW)]]-Table14[[#This Row],[Puissance consommée (kW)]]</f>
        <v>28.023199999999996</v>
      </c>
      <c r="K16" s="4">
        <v>85.4</v>
      </c>
    </row>
    <row r="17" spans="2:11" x14ac:dyDescent="0.25">
      <c r="B17">
        <v>13</v>
      </c>
      <c r="C17">
        <v>36</v>
      </c>
      <c r="D17" s="3">
        <v>5.6</v>
      </c>
      <c r="E17" s="6">
        <v>30.4</v>
      </c>
      <c r="F17">
        <v>573</v>
      </c>
      <c r="G17" s="4">
        <f>(Table14[[#This Row],[Irradiance (W/m²)]]*0.18)</f>
        <v>103.14</v>
      </c>
      <c r="H17">
        <f>Table14[[#This Row],[Puissance solaire  par panneaux (W)]]*291/1000</f>
        <v>30.013740000000002</v>
      </c>
      <c r="I17" s="4">
        <f>ABS(MIN(0,Table14[[#This Row],[Puissance consommée (kW)]]-(Table14[[#This Row],[Puissance  Eolienne (kW)]]+Table14[[#This Row],[Puissance solaire  (kW)]])))</f>
        <v>24.413740000000004</v>
      </c>
      <c r="J17" s="4">
        <f>Table14[[#This Row],[Puissance solaire  (kW)]]+Table14[[#This Row],[Puissance  Eolienne (kW)]]-Table14[[#This Row],[Puissance consommée (kW)]]</f>
        <v>24.413740000000004</v>
      </c>
      <c r="K17" s="4">
        <v>113.42</v>
      </c>
    </row>
    <row r="18" spans="2:11" x14ac:dyDescent="0.25">
      <c r="B18">
        <v>14</v>
      </c>
      <c r="C18">
        <v>36</v>
      </c>
      <c r="D18" s="3">
        <v>5.57</v>
      </c>
      <c r="E18" s="6">
        <v>30.4</v>
      </c>
      <c r="F18">
        <v>462</v>
      </c>
      <c r="G18" s="4">
        <f>(Table14[[#This Row],[Irradiance (W/m²)]]*0.18)</f>
        <v>83.16</v>
      </c>
      <c r="H18">
        <f>Table14[[#This Row],[Puissance solaire  par panneaux (W)]]*291/1000</f>
        <v>24.199559999999998</v>
      </c>
      <c r="I18" s="4">
        <f>ABS(MIN(0,Table14[[#This Row],[Puissance consommée (kW)]]-(Table14[[#This Row],[Puissance  Eolienne (kW)]]+Table14[[#This Row],[Puissance solaire  (kW)]])))</f>
        <v>18.599559999999997</v>
      </c>
      <c r="J18" s="4">
        <f>Table14[[#This Row],[Puissance solaire  (kW)]]+Table14[[#This Row],[Puissance  Eolienne (kW)]]-Table14[[#This Row],[Puissance consommée (kW)]]</f>
        <v>18.599559999999997</v>
      </c>
      <c r="K18" s="4">
        <v>137.83000000000001</v>
      </c>
    </row>
    <row r="19" spans="2:11" x14ac:dyDescent="0.25">
      <c r="B19">
        <v>15</v>
      </c>
      <c r="C19">
        <v>36</v>
      </c>
      <c r="D19" s="3">
        <v>5.5</v>
      </c>
      <c r="E19" s="6">
        <v>29.5</v>
      </c>
      <c r="F19">
        <v>311</v>
      </c>
      <c r="G19" s="4">
        <f>(Table14[[#This Row],[Irradiance (W/m²)]]*0.18)</f>
        <v>55.98</v>
      </c>
      <c r="H19">
        <f>Table14[[#This Row],[Puissance solaire  par panneaux (W)]]*291/1000</f>
        <v>16.290179999999999</v>
      </c>
      <c r="I19" s="4">
        <f>ABS(MIN(0,Table14[[#This Row],[Puissance consommée (kW)]]-(Table14[[#This Row],[Puissance  Eolienne (kW)]]+Table14[[#This Row],[Puissance solaire  (kW)]])))</f>
        <v>9.7901799999999994</v>
      </c>
      <c r="J19" s="4">
        <f>Table14[[#This Row],[Puissance solaire  (kW)]]+Table14[[#This Row],[Puissance  Eolienne (kW)]]-Table14[[#This Row],[Puissance consommée (kW)]]</f>
        <v>9.7901799999999994</v>
      </c>
      <c r="K19" s="4">
        <v>156.43</v>
      </c>
    </row>
    <row r="20" spans="2:11" x14ac:dyDescent="0.25">
      <c r="B20">
        <v>16</v>
      </c>
      <c r="C20">
        <v>35</v>
      </c>
      <c r="D20" s="3">
        <v>5.39</v>
      </c>
      <c r="E20" s="6">
        <v>28.6</v>
      </c>
      <c r="F20">
        <v>151</v>
      </c>
      <c r="G20" s="4">
        <f>(Table14[[#This Row],[Irradiance (W/m²)]]*0.18)</f>
        <v>27.18</v>
      </c>
      <c r="H20">
        <f>Table14[[#This Row],[Puissance solaire  par panneaux (W)]]*291/1000</f>
        <v>7.9093800000000005</v>
      </c>
      <c r="I20" s="4">
        <f>ABS(MIN(0,Table14[[#This Row],[Puissance consommée (kW)]]-(Table14[[#This Row],[Puissance  Eolienne (kW)]]+Table14[[#This Row],[Puissance solaire  (kW)]])))</f>
        <v>1.5093800000000002</v>
      </c>
      <c r="J20" s="4">
        <f>Table14[[#This Row],[Puissance solaire  (kW)]]+Table14[[#This Row],[Puissance  Eolienne (kW)]]-Table14[[#This Row],[Puissance consommée (kW)]]</f>
        <v>1.5093800000000002</v>
      </c>
      <c r="K20" s="4">
        <v>166.22</v>
      </c>
    </row>
    <row r="21" spans="2:11" x14ac:dyDescent="0.25">
      <c r="B21">
        <v>17</v>
      </c>
      <c r="C21">
        <v>40</v>
      </c>
      <c r="D21" s="3">
        <v>5.25</v>
      </c>
      <c r="E21" s="6">
        <v>27.7</v>
      </c>
      <c r="F21">
        <v>47</v>
      </c>
      <c r="G21" s="4">
        <f>(Table14[[#This Row],[Irradiance (W/m²)]]*0.18)</f>
        <v>8.4599999999999991</v>
      </c>
      <c r="H21">
        <f>Table14[[#This Row],[Puissance solaire  par panneaux (W)]]*291/1000</f>
        <v>2.4618599999999997</v>
      </c>
      <c r="I21" s="4">
        <f>ABS(MIN(0,Table14[[#This Row],[Puissance consommée (kW)]]-(Table14[[#This Row],[Puissance  Eolienne (kW)]]+Table14[[#This Row],[Puissance solaire  (kW)]])))</f>
        <v>0</v>
      </c>
      <c r="J21" s="4">
        <f>Table14[[#This Row],[Puissance solaire  (kW)]]+Table14[[#This Row],[Puissance  Eolienne (kW)]]-Table14[[#This Row],[Puissance consommée (kW)]]</f>
        <v>-9.8381400000000028</v>
      </c>
      <c r="K21" s="4">
        <v>167.73</v>
      </c>
    </row>
    <row r="22" spans="2:11" x14ac:dyDescent="0.25">
      <c r="B22">
        <v>18</v>
      </c>
      <c r="C22">
        <v>47</v>
      </c>
      <c r="D22" s="3">
        <v>5.13</v>
      </c>
      <c r="E22" s="6">
        <v>25.9</v>
      </c>
      <c r="F22">
        <v>7</v>
      </c>
      <c r="G22" s="4">
        <f>(Table14[[#This Row],[Irradiance (W/m²)]]*0.18)</f>
        <v>1.26</v>
      </c>
      <c r="H22">
        <f>Table14[[#This Row],[Puissance solaire  par panneaux (W)]]*291/1000</f>
        <v>0.36666000000000004</v>
      </c>
      <c r="I22" s="4">
        <f>ABS(MIN(0,Table14[[#This Row],[Puissance consommée (kW)]]-(Table14[[#This Row],[Puissance  Eolienne (kW)]]+Table14[[#This Row],[Puissance solaire  (kW)]])))</f>
        <v>0</v>
      </c>
      <c r="J22" s="4">
        <f>Table14[[#This Row],[Puissance solaire  (kW)]]+Table14[[#This Row],[Puissance  Eolienne (kW)]]-Table14[[#This Row],[Puissance consommée (kW)]]</f>
        <v>-20.733340000000002</v>
      </c>
      <c r="K22" s="4">
        <v>157.88999999999999</v>
      </c>
    </row>
    <row r="23" spans="2:11" x14ac:dyDescent="0.25">
      <c r="B23">
        <v>19</v>
      </c>
      <c r="C23">
        <v>50</v>
      </c>
      <c r="D23" s="3">
        <v>5.0999999999999996</v>
      </c>
      <c r="E23" s="6">
        <v>25.9</v>
      </c>
      <c r="F23">
        <v>0</v>
      </c>
      <c r="G23" s="4">
        <f>(Table14[[#This Row],[Irradiance (W/m²)]]*0.18)</f>
        <v>0</v>
      </c>
      <c r="H23">
        <f>Table14[[#This Row],[Puissance solaire  par panneaux (W)]]*291/1000</f>
        <v>0</v>
      </c>
      <c r="I23" s="4">
        <f>ABS(MIN(0,Table14[[#This Row],[Puissance consommée (kW)]]-(Table14[[#This Row],[Puissance  Eolienne (kW)]]+Table14[[#This Row],[Puissance solaire  (kW)]])))</f>
        <v>0</v>
      </c>
      <c r="J23" s="4">
        <f>Table14[[#This Row],[Puissance solaire  (kW)]]+Table14[[#This Row],[Puissance  Eolienne (kW)]]-Table14[[#This Row],[Puissance consommée (kW)]]</f>
        <v>-24.1</v>
      </c>
      <c r="K23" s="4">
        <v>137.16</v>
      </c>
    </row>
    <row r="24" spans="2:11" x14ac:dyDescent="0.25">
      <c r="B24">
        <v>20</v>
      </c>
      <c r="C24">
        <v>47</v>
      </c>
      <c r="D24" s="3">
        <v>5.1100000000000003</v>
      </c>
      <c r="E24" s="6">
        <v>25.9</v>
      </c>
      <c r="F24">
        <v>0</v>
      </c>
      <c r="G24" s="4">
        <f>(Table14[[#This Row],[Irradiance (W/m²)]]*0.18)</f>
        <v>0</v>
      </c>
      <c r="H24">
        <f>Table14[[#This Row],[Puissance solaire  par panneaux (W)]]*291/1000</f>
        <v>0</v>
      </c>
      <c r="I24" s="4">
        <f>ABS(MIN(0,Table14[[#This Row],[Puissance consommée (kW)]]-(Table14[[#This Row],[Puissance  Eolienne (kW)]]+Table14[[#This Row],[Puissance solaire  (kW)]])))</f>
        <v>0</v>
      </c>
      <c r="J24" s="4">
        <f>Table14[[#This Row],[Puissance solaire  (kW)]]+Table14[[#This Row],[Puissance  Eolienne (kW)]]-Table14[[#This Row],[Puissance consommée (kW)]]</f>
        <v>-21.1</v>
      </c>
      <c r="K24" s="4">
        <v>113.06</v>
      </c>
    </row>
    <row r="25" spans="2:11" x14ac:dyDescent="0.25">
      <c r="B25">
        <v>21</v>
      </c>
      <c r="C25">
        <v>40</v>
      </c>
      <c r="D25" s="3">
        <v>5.13</v>
      </c>
      <c r="E25" s="6">
        <v>25.9</v>
      </c>
      <c r="F25">
        <v>0</v>
      </c>
      <c r="G25" s="4">
        <f>(Table14[[#This Row],[Irradiance (W/m²)]]*0.18)</f>
        <v>0</v>
      </c>
      <c r="H25">
        <f>Table14[[#This Row],[Puissance solaire  par panneaux (W)]]*291/1000</f>
        <v>0</v>
      </c>
      <c r="I25" s="4">
        <f>ABS(MIN(0,Table14[[#This Row],[Puissance consommée (kW)]]-(Table14[[#This Row],[Puissance  Eolienne (kW)]]+Table14[[#This Row],[Puissance solaire  (kW)]])))</f>
        <v>0</v>
      </c>
      <c r="J25" s="4">
        <f>Table14[[#This Row],[Puissance solaire  (kW)]]+Table14[[#This Row],[Puissance  Eolienne (kW)]]-Table14[[#This Row],[Puissance consommée (kW)]]</f>
        <v>-14.100000000000001</v>
      </c>
      <c r="K25" s="4">
        <v>91.96</v>
      </c>
    </row>
    <row r="26" spans="2:11" x14ac:dyDescent="0.25">
      <c r="B26">
        <v>22</v>
      </c>
      <c r="C26">
        <v>35</v>
      </c>
      <c r="D26" s="3">
        <v>5.14</v>
      </c>
      <c r="E26" s="6">
        <v>25.9</v>
      </c>
      <c r="F26">
        <v>0</v>
      </c>
      <c r="G26" s="4">
        <f>(Table14[[#This Row],[Irradiance (W/m²)]]*0.18)</f>
        <v>0</v>
      </c>
      <c r="H26">
        <f>Table14[[#This Row],[Puissance solaire  par panneaux (W)]]*291/1000</f>
        <v>0</v>
      </c>
      <c r="I26" s="4">
        <f>ABS(MIN(0,Table14[[#This Row],[Puissance consommée (kW)]]-(Table14[[#This Row],[Puissance  Eolienne (kW)]]+Table14[[#This Row],[Puissance solaire  (kW)]])))</f>
        <v>0</v>
      </c>
      <c r="J26" s="4">
        <f>Table14[[#This Row],[Puissance solaire  (kW)]]+Table14[[#This Row],[Puissance  Eolienne (kW)]]-Table14[[#This Row],[Puissance consommée (kW)]]</f>
        <v>-9.1000000000000014</v>
      </c>
      <c r="K26" s="4">
        <v>77.86</v>
      </c>
    </row>
    <row r="27" spans="2:11" x14ac:dyDescent="0.25">
      <c r="B27">
        <v>23</v>
      </c>
      <c r="C27">
        <v>28</v>
      </c>
      <c r="D27" s="3">
        <v>5.14</v>
      </c>
      <c r="E27" s="6">
        <v>25.9</v>
      </c>
      <c r="F27">
        <v>0</v>
      </c>
      <c r="G27" s="4">
        <f>(Table14[[#This Row],[Irradiance (W/m²)]]*0.18)</f>
        <v>0</v>
      </c>
      <c r="H27">
        <f>Table14[[#This Row],[Puissance solaire  par panneaux (W)]]*291/1000</f>
        <v>0</v>
      </c>
      <c r="I27" s="4">
        <f>ABS(MIN(0,Table14[[#This Row],[Puissance consommée (kW)]]-(Table14[[#This Row],[Puissance  Eolienne (kW)]]+Table14[[#This Row],[Puissance solaire  (kW)]])))</f>
        <v>0</v>
      </c>
      <c r="J27" s="4">
        <f>Table14[[#This Row],[Puissance solaire  (kW)]]+Table14[[#This Row],[Puissance  Eolienne (kW)]]-Table14[[#This Row],[Puissance consommée (kW)]]</f>
        <v>-2.1000000000000014</v>
      </c>
      <c r="K27" s="4">
        <v>68.760000000000005</v>
      </c>
    </row>
    <row r="28" spans="2:11" x14ac:dyDescent="0.25">
      <c r="B28">
        <v>24</v>
      </c>
      <c r="C28">
        <v>28</v>
      </c>
      <c r="D28" s="3">
        <v>5.16</v>
      </c>
      <c r="E28" s="6">
        <v>26.8</v>
      </c>
      <c r="F28">
        <v>0</v>
      </c>
      <c r="G28" s="4">
        <f>(Table14[[#This Row],[Irradiance (W/m²)]]*0.18)</f>
        <v>0</v>
      </c>
      <c r="H28">
        <f>Table14[[#This Row],[Puissance solaire  par panneaux (W)]]*291/1000</f>
        <v>0</v>
      </c>
      <c r="I28" s="4">
        <f>ABS(MIN(0,Table14[[#This Row],[Puissance consommée (kW)]]-(Table14[[#This Row],[Puissance  Eolienne (kW)]]+Table14[[#This Row],[Puissance solaire  (kW)]])))</f>
        <v>0</v>
      </c>
      <c r="J28" s="4">
        <f>Table14[[#This Row],[Puissance solaire  (kW)]]+Table14[[#This Row],[Puissance  Eolienne (kW)]]-Table14[[#This Row],[Puissance consommée (kW)]]</f>
        <v>-1.1999999999999993</v>
      </c>
      <c r="K28" s="4">
        <v>66.66</v>
      </c>
    </row>
    <row r="29" spans="2:11" x14ac:dyDescent="0.25">
      <c r="B29">
        <v>0</v>
      </c>
      <c r="C29">
        <v>30</v>
      </c>
      <c r="D29" s="3">
        <v>5.16</v>
      </c>
      <c r="E29" s="6">
        <v>26.8</v>
      </c>
      <c r="F29">
        <v>0</v>
      </c>
      <c r="G29" s="4">
        <f>(Table14[[#This Row],[Irradiance (W/m²)]]*0.18)</f>
        <v>0</v>
      </c>
      <c r="H29" s="34">
        <f>Table14[[#This Row],[Puissance solaire  par panneaux (W)]]*291/1000</f>
        <v>0</v>
      </c>
      <c r="I29" s="4">
        <f>ABS(MIN(0,Table14[[#This Row],[Puissance consommée (kW)]]-(Table14[[#This Row],[Puissance  Eolienne (kW)]]+Table14[[#This Row],[Puissance solaire  (kW)]])))</f>
        <v>0</v>
      </c>
      <c r="J29" s="4">
        <f>Table14[[#This Row],[Puissance solaire  (kW)]]+Table14[[#This Row],[Puissance  Eolienne (kW)]]-Table14[[#This Row],[Puissance consommée (kW)]]</f>
        <v>-3.1999999999999993</v>
      </c>
      <c r="K29" s="4">
        <v>65.459999999999994</v>
      </c>
    </row>
    <row r="30" spans="2:11" x14ac:dyDescent="0.25">
      <c r="B30">
        <v>1</v>
      </c>
      <c r="C30">
        <v>30</v>
      </c>
      <c r="D30" s="3">
        <v>5.18</v>
      </c>
      <c r="E30" s="6">
        <v>26.8</v>
      </c>
      <c r="F30">
        <v>0</v>
      </c>
      <c r="G30" s="4">
        <f>(Table14[[#This Row],[Irradiance (W/m²)]]*0.18)</f>
        <v>0</v>
      </c>
      <c r="H30" s="34">
        <f>Table14[[#This Row],[Puissance solaire  par panneaux (W)]]*291/1000</f>
        <v>0</v>
      </c>
      <c r="I30" s="4">
        <f>ABS(MIN(0,Table14[[#This Row],[Puissance consommée (kW)]]-(Table14[[#This Row],[Puissance  Eolienne (kW)]]+Table14[[#This Row],[Puissance solaire  (kW)]])))</f>
        <v>0</v>
      </c>
      <c r="J30" s="4">
        <f>Table14[[#This Row],[Puissance solaire  (kW)]]+Table14[[#This Row],[Puissance  Eolienne (kW)]]-Table14[[#This Row],[Puissance consommée (kW)]]</f>
        <v>-3.1999999999999993</v>
      </c>
      <c r="K30" s="4">
        <v>62.26</v>
      </c>
    </row>
    <row r="31" spans="2:11" x14ac:dyDescent="0.25">
      <c r="B31">
        <v>2</v>
      </c>
      <c r="C31">
        <v>30</v>
      </c>
      <c r="D31" s="3">
        <v>5.2</v>
      </c>
      <c r="E31" s="6">
        <v>26.8</v>
      </c>
      <c r="F31">
        <v>0</v>
      </c>
      <c r="G31" s="4">
        <f>(Table14[[#This Row],[Irradiance (W/m²)]]*0.18)</f>
        <v>0</v>
      </c>
      <c r="H31" s="34">
        <f>Table14[[#This Row],[Puissance solaire  par panneaux (W)]]*291/1000</f>
        <v>0</v>
      </c>
      <c r="I31" s="4">
        <f>ABS(MIN(0,Table14[[#This Row],[Puissance consommée (kW)]]-(Table14[[#This Row],[Puissance  Eolienne (kW)]]+Table14[[#This Row],[Puissance solaire  (kW)]])))</f>
        <v>0</v>
      </c>
      <c r="J31" s="4">
        <f>Table14[[#This Row],[Puissance solaire  (kW)]]+Table14[[#This Row],[Puissance  Eolienne (kW)]]-Table14[[#This Row],[Puissance consommée (kW)]]</f>
        <v>-3.1999999999999993</v>
      </c>
      <c r="K31" s="4">
        <v>59.06</v>
      </c>
    </row>
    <row r="32" spans="2:11" x14ac:dyDescent="0.25">
      <c r="B32">
        <v>3</v>
      </c>
      <c r="C32">
        <v>30</v>
      </c>
      <c r="D32" s="3">
        <v>5.2</v>
      </c>
      <c r="E32" s="6">
        <v>26.8</v>
      </c>
      <c r="F32">
        <v>0</v>
      </c>
      <c r="G32" s="4">
        <f>(Table14[[#This Row],[Irradiance (W/m²)]]*0.18)</f>
        <v>0</v>
      </c>
      <c r="H32" s="34">
        <f>Table14[[#This Row],[Puissance solaire  par panneaux (W)]]*291/1000</f>
        <v>0</v>
      </c>
      <c r="I32" s="4">
        <f>ABS(MIN(0,Table14[[#This Row],[Puissance consommée (kW)]]-(Table14[[#This Row],[Puissance  Eolienne (kW)]]+Table14[[#This Row],[Puissance solaire  (kW)]])))</f>
        <v>0</v>
      </c>
      <c r="J32" s="4">
        <f>Table14[[#This Row],[Puissance solaire  (kW)]]+Table14[[#This Row],[Puissance  Eolienne (kW)]]-Table14[[#This Row],[Puissance consommée (kW)]]</f>
        <v>-3.1999999999999993</v>
      </c>
      <c r="K32" s="4">
        <v>55.86</v>
      </c>
    </row>
    <row r="33" spans="2:11" x14ac:dyDescent="0.25">
      <c r="B33">
        <v>4</v>
      </c>
      <c r="C33">
        <v>30</v>
      </c>
      <c r="D33" s="3">
        <v>5.19</v>
      </c>
      <c r="E33" s="6">
        <v>26.8</v>
      </c>
      <c r="F33">
        <v>1</v>
      </c>
      <c r="G33" s="4">
        <f>(Table14[[#This Row],[Irradiance (W/m²)]]*0.18)</f>
        <v>0.18</v>
      </c>
      <c r="H33" s="34">
        <f>Table14[[#This Row],[Puissance solaire  par panneaux (W)]]*291/1000</f>
        <v>5.2379999999999996E-2</v>
      </c>
      <c r="I33" s="4">
        <f>ABS(MIN(0,Table14[[#This Row],[Puissance consommée (kW)]]-(Table14[[#This Row],[Puissance  Eolienne (kW)]]+Table14[[#This Row],[Puissance solaire  (kW)]])))</f>
        <v>0</v>
      </c>
      <c r="J33" s="4">
        <f>Table14[[#This Row],[Puissance solaire  (kW)]]+Table14[[#This Row],[Puissance  Eolienne (kW)]]-Table14[[#This Row],[Puissance consommée (kW)]]</f>
        <v>-3.1476199999999999</v>
      </c>
      <c r="K33" s="4">
        <v>52.66</v>
      </c>
    </row>
    <row r="34" spans="2:11" x14ac:dyDescent="0.25">
      <c r="B34">
        <v>5</v>
      </c>
      <c r="C34">
        <v>33</v>
      </c>
      <c r="D34" s="3">
        <v>5.17</v>
      </c>
      <c r="E34" s="6">
        <v>26.8</v>
      </c>
      <c r="F34">
        <v>13</v>
      </c>
      <c r="G34" s="4">
        <f>(Table14[[#This Row],[Irradiance (W/m²)]]*0.18)</f>
        <v>2.34</v>
      </c>
      <c r="H34" s="34">
        <f>Table14[[#This Row],[Puissance solaire  par panneaux (W)]]*291/1000</f>
        <v>0.68093999999999999</v>
      </c>
      <c r="I34" s="4">
        <f>ABS(MIN(0,Table14[[#This Row],[Puissance consommée (kW)]]-(Table14[[#This Row],[Puissance  Eolienne (kW)]]+Table14[[#This Row],[Puissance solaire  (kW)]])))</f>
        <v>0</v>
      </c>
      <c r="J34" s="4">
        <f>Table14[[#This Row],[Puissance solaire  (kW)]]+Table14[[#This Row],[Puissance  Eolienne (kW)]]-Table14[[#This Row],[Puissance consommée (kW)]]</f>
        <v>-5.5190599999999996</v>
      </c>
      <c r="K34" s="4">
        <v>49.51</v>
      </c>
    </row>
    <row r="35" spans="2:11" x14ac:dyDescent="0.25">
      <c r="B35">
        <v>6</v>
      </c>
      <c r="C35">
        <v>35</v>
      </c>
      <c r="D35" s="3">
        <v>5.16</v>
      </c>
      <c r="E35" s="6">
        <v>26.8</v>
      </c>
      <c r="F35">
        <v>81</v>
      </c>
      <c r="G35" s="4">
        <f>(Table14[[#This Row],[Irradiance (W/m²)]]*0.18)</f>
        <v>14.58</v>
      </c>
      <c r="H35" s="34">
        <f>Table14[[#This Row],[Puissance solaire  par panneaux (W)]]*291/1000</f>
        <v>4.2427799999999998</v>
      </c>
      <c r="I35" s="4">
        <f>ABS(MIN(0,Table14[[#This Row],[Puissance consommée (kW)]]-(Table14[[#This Row],[Puissance  Eolienne (kW)]]+Table14[[#This Row],[Puissance solaire  (kW)]])))</f>
        <v>0</v>
      </c>
      <c r="J35" s="4">
        <f>Table14[[#This Row],[Puissance solaire  (kW)]]+Table14[[#This Row],[Puissance  Eolienne (kW)]]-Table14[[#This Row],[Puissance consommée (kW)]]</f>
        <v>-3.9572199999999995</v>
      </c>
      <c r="K35" s="4">
        <v>43.99</v>
      </c>
    </row>
    <row r="36" spans="2:11" x14ac:dyDescent="0.25">
      <c r="B36">
        <v>7</v>
      </c>
      <c r="C36">
        <v>40</v>
      </c>
      <c r="D36" s="3">
        <v>5.2</v>
      </c>
      <c r="E36" s="6">
        <v>26.8</v>
      </c>
      <c r="F36">
        <v>217</v>
      </c>
      <c r="G36" s="4">
        <f>(Table14[[#This Row],[Irradiance (W/m²)]]*0.18)</f>
        <v>39.059999999999995</v>
      </c>
      <c r="H36" s="34">
        <f>Table14[[#This Row],[Puissance solaire  par panneaux (W)]]*291/1000</f>
        <v>11.36646</v>
      </c>
      <c r="I36" s="4">
        <f>ABS(MIN(0,Table14[[#This Row],[Puissance consommée (kW)]]-(Table14[[#This Row],[Puissance  Eolienne (kW)]]+Table14[[#This Row],[Puissance solaire  (kW)]])))</f>
        <v>0</v>
      </c>
      <c r="J36" s="4">
        <f>Table14[[#This Row],[Puissance solaire  (kW)]]+Table14[[#This Row],[Puissance  Eolienne (kW)]]-Table14[[#This Row],[Puissance consommée (kW)]]</f>
        <v>-1.8335399999999993</v>
      </c>
      <c r="K36" s="4">
        <v>40.03</v>
      </c>
    </row>
    <row r="37" spans="2:11" x14ac:dyDescent="0.25">
      <c r="B37">
        <v>8</v>
      </c>
      <c r="C37">
        <v>45</v>
      </c>
      <c r="D37" s="3">
        <v>5.26</v>
      </c>
      <c r="E37" s="6">
        <v>27.7</v>
      </c>
      <c r="F37">
        <v>389</v>
      </c>
      <c r="G37" s="4">
        <f>(Table14[[#This Row],[Irradiance (W/m²)]]*0.18)</f>
        <v>70.02</v>
      </c>
      <c r="H37" s="34">
        <f>Table14[[#This Row],[Puissance solaire  par panneaux (W)]]*291/1000</f>
        <v>20.375820000000001</v>
      </c>
      <c r="I37" s="4">
        <f>ABS(MIN(0,Table14[[#This Row],[Puissance consommée (kW)]]-(Table14[[#This Row],[Puissance  Eolienne (kW)]]+Table14[[#This Row],[Puissance solaire  (kW)]])))</f>
        <v>3.0758200000000002</v>
      </c>
      <c r="J37" s="4">
        <f>Table14[[#This Row],[Puissance solaire  (kW)]]+Table14[[#This Row],[Puissance  Eolienne (kW)]]-Table14[[#This Row],[Puissance consommée (kW)]]</f>
        <v>3.0758200000000002</v>
      </c>
      <c r="K37" s="4">
        <v>38.200000000000003</v>
      </c>
    </row>
    <row r="38" spans="2:11" x14ac:dyDescent="0.25">
      <c r="B38">
        <v>9</v>
      </c>
      <c r="C38">
        <v>50</v>
      </c>
      <c r="D38" s="3">
        <v>5.32</v>
      </c>
      <c r="E38" s="6">
        <v>27.7</v>
      </c>
      <c r="F38">
        <v>526</v>
      </c>
      <c r="G38" s="4">
        <f>(Table14[[#This Row],[Irradiance (W/m²)]]*0.18)</f>
        <v>94.679999999999993</v>
      </c>
      <c r="H38" s="34">
        <f>Table14[[#This Row],[Puissance solaire  par panneaux (W)]]*291/1000</f>
        <v>27.551879999999997</v>
      </c>
      <c r="I38" s="4">
        <f>ABS(MIN(0,Table14[[#This Row],[Puissance consommée (kW)]]-(Table14[[#This Row],[Puissance  Eolienne (kW)]]+Table14[[#This Row],[Puissance solaire  (kW)]])))</f>
        <v>5.2518799999999999</v>
      </c>
      <c r="J38" s="4">
        <f>Table14[[#This Row],[Puissance solaire  (kW)]]+Table14[[#This Row],[Puissance  Eolienne (kW)]]-Table14[[#This Row],[Puissance consommée (kW)]]</f>
        <v>5.2518799999999999</v>
      </c>
      <c r="K38" s="4">
        <v>41.28</v>
      </c>
    </row>
    <row r="39" spans="2:11" x14ac:dyDescent="0.25">
      <c r="B39">
        <v>10</v>
      </c>
      <c r="C39">
        <v>45</v>
      </c>
      <c r="D39" s="3">
        <v>5.39</v>
      </c>
      <c r="E39" s="6">
        <v>28.6</v>
      </c>
      <c r="F39">
        <v>616</v>
      </c>
      <c r="G39" s="4">
        <f>(Table14[[#This Row],[Irradiance (W/m²)]]*0.18)</f>
        <v>110.88</v>
      </c>
      <c r="H39" s="34">
        <f>Table14[[#This Row],[Puissance solaire  par panneaux (W)]]*291/1000</f>
        <v>32.266079999999995</v>
      </c>
      <c r="I39" s="4">
        <f>ABS(MIN(0,Table14[[#This Row],[Puissance consommée (kW)]]-(Table14[[#This Row],[Puissance  Eolienne (kW)]]+Table14[[#This Row],[Puissance solaire  (kW)]])))</f>
        <v>15.866079999999997</v>
      </c>
      <c r="J39" s="4">
        <f>Table14[[#This Row],[Puissance solaire  (kW)]]+Table14[[#This Row],[Puissance  Eolienne (kW)]]-Table14[[#This Row],[Puissance consommée (kW)]]</f>
        <v>15.866079999999997</v>
      </c>
      <c r="K39" s="4">
        <v>46.53</v>
      </c>
    </row>
    <row r="40" spans="2:11" x14ac:dyDescent="0.25">
      <c r="B40">
        <v>11</v>
      </c>
      <c r="C40">
        <v>40</v>
      </c>
      <c r="D40" s="3">
        <v>5.46</v>
      </c>
      <c r="E40" s="6">
        <v>29.5</v>
      </c>
      <c r="F40">
        <v>654</v>
      </c>
      <c r="G40" s="4">
        <f>(Table14[[#This Row],[Irradiance (W/m²)]]*0.18)</f>
        <v>117.72</v>
      </c>
      <c r="H40" s="34">
        <f>Table14[[#This Row],[Puissance solaire  par panneaux (W)]]*291/1000</f>
        <v>34.256519999999995</v>
      </c>
      <c r="I40" s="4">
        <f>ABS(MIN(0,Table14[[#This Row],[Puissance consommée (kW)]]-(Table14[[#This Row],[Puissance  Eolienne (kW)]]+Table14[[#This Row],[Puissance solaire  (kW)]])))</f>
        <v>23.756519999999995</v>
      </c>
      <c r="J40" s="4">
        <f>Table14[[#This Row],[Puissance solaire  (kW)]]+Table14[[#This Row],[Puissance  Eolienne (kW)]]-Table14[[#This Row],[Puissance consommée (kW)]]</f>
        <v>23.756519999999995</v>
      </c>
      <c r="K40" s="4">
        <v>62.4</v>
      </c>
    </row>
    <row r="41" spans="2:11" x14ac:dyDescent="0.25">
      <c r="B41">
        <v>12</v>
      </c>
      <c r="C41">
        <v>35</v>
      </c>
      <c r="D41" s="3">
        <v>5.53</v>
      </c>
      <c r="E41" s="6">
        <v>29.5</v>
      </c>
      <c r="F41">
        <v>640</v>
      </c>
      <c r="G41" s="4">
        <f>(Table14[[#This Row],[Irradiance (W/m²)]]*0.18)</f>
        <v>115.19999999999999</v>
      </c>
      <c r="H41" s="34">
        <f>Table14[[#This Row],[Puissance solaire  par panneaux (W)]]*291/1000</f>
        <v>33.523199999999996</v>
      </c>
      <c r="I41" s="4">
        <f>ABS(MIN(0,Table14[[#This Row],[Puissance consommée (kW)]]-(Table14[[#This Row],[Puissance  Eolienne (kW)]]+Table14[[#This Row],[Puissance solaire  (kW)]])))</f>
        <v>28.023199999999996</v>
      </c>
      <c r="J41" s="4">
        <f>Table14[[#This Row],[Puissance solaire  (kW)]]+Table14[[#This Row],[Puissance  Eolienne (kW)]]-Table14[[#This Row],[Puissance consommée (kW)]]</f>
        <v>28.023199999999996</v>
      </c>
      <c r="K41" s="4">
        <v>86.16</v>
      </c>
    </row>
    <row r="42" spans="2:11" x14ac:dyDescent="0.25">
      <c r="B42">
        <v>13</v>
      </c>
      <c r="C42">
        <v>36</v>
      </c>
      <c r="D42" s="3">
        <v>5.6</v>
      </c>
      <c r="E42" s="6">
        <v>30.4</v>
      </c>
      <c r="F42">
        <v>573</v>
      </c>
      <c r="G42" s="4">
        <f>(Table14[[#This Row],[Irradiance (W/m²)]]*0.18)</f>
        <v>103.14</v>
      </c>
      <c r="H42" s="34">
        <f>Table14[[#This Row],[Puissance solaire  par panneaux (W)]]*291/1000</f>
        <v>30.013740000000002</v>
      </c>
      <c r="I42" s="4">
        <f>ABS(MIN(0,Table14[[#This Row],[Puissance consommée (kW)]]-(Table14[[#This Row],[Puissance  Eolienne (kW)]]+Table14[[#This Row],[Puissance solaire  (kW)]])))</f>
        <v>24.413740000000004</v>
      </c>
      <c r="J42" s="4">
        <f>Table14[[#This Row],[Puissance solaire  (kW)]]+Table14[[#This Row],[Puissance  Eolienne (kW)]]-Table14[[#This Row],[Puissance consommée (kW)]]</f>
        <v>24.413740000000004</v>
      </c>
      <c r="K42" s="4">
        <v>114.18</v>
      </c>
    </row>
    <row r="43" spans="2:11" x14ac:dyDescent="0.25">
      <c r="B43">
        <v>14</v>
      </c>
      <c r="C43">
        <v>36</v>
      </c>
      <c r="D43" s="3">
        <v>5.57</v>
      </c>
      <c r="E43" s="6">
        <v>30.4</v>
      </c>
      <c r="F43">
        <v>462</v>
      </c>
      <c r="G43" s="4">
        <f>(Table14[[#This Row],[Irradiance (W/m²)]]*0.18)</f>
        <v>83.16</v>
      </c>
      <c r="H43" s="34">
        <f>Table14[[#This Row],[Puissance solaire  par panneaux (W)]]*291/1000</f>
        <v>24.199559999999998</v>
      </c>
      <c r="I43" s="4">
        <f>ABS(MIN(0,Table14[[#This Row],[Puissance consommée (kW)]]-(Table14[[#This Row],[Puissance  Eolienne (kW)]]+Table14[[#This Row],[Puissance solaire  (kW)]])))</f>
        <v>18.599559999999997</v>
      </c>
      <c r="J43" s="4">
        <f>Table14[[#This Row],[Puissance solaire  (kW)]]+Table14[[#This Row],[Puissance  Eolienne (kW)]]-Table14[[#This Row],[Puissance consommée (kW)]]</f>
        <v>18.599559999999997</v>
      </c>
      <c r="K43" s="4">
        <v>138.59</v>
      </c>
    </row>
    <row r="44" spans="2:11" x14ac:dyDescent="0.25">
      <c r="B44">
        <v>15</v>
      </c>
      <c r="C44">
        <v>36</v>
      </c>
      <c r="D44" s="3">
        <v>5.5</v>
      </c>
      <c r="E44" s="6">
        <v>29.5</v>
      </c>
      <c r="F44">
        <v>311</v>
      </c>
      <c r="G44" s="4">
        <f>(Table14[[#This Row],[Irradiance (W/m²)]]*0.18)</f>
        <v>55.98</v>
      </c>
      <c r="H44" s="34">
        <f>Table14[[#This Row],[Puissance solaire  par panneaux (W)]]*291/1000</f>
        <v>16.290179999999999</v>
      </c>
      <c r="I44" s="4">
        <f>ABS(MIN(0,Table14[[#This Row],[Puissance consommée (kW)]]-(Table14[[#This Row],[Puissance  Eolienne (kW)]]+Table14[[#This Row],[Puissance solaire  (kW)]])))</f>
        <v>9.7901799999999994</v>
      </c>
      <c r="J44" s="4">
        <f>Table14[[#This Row],[Puissance solaire  (kW)]]+Table14[[#This Row],[Puissance  Eolienne (kW)]]-Table14[[#This Row],[Puissance consommée (kW)]]</f>
        <v>9.7901799999999994</v>
      </c>
      <c r="K44" s="4">
        <v>157.19</v>
      </c>
    </row>
    <row r="45" spans="2:11" x14ac:dyDescent="0.25">
      <c r="B45">
        <v>16</v>
      </c>
      <c r="C45">
        <v>35</v>
      </c>
      <c r="D45" s="3">
        <v>5.39</v>
      </c>
      <c r="E45" s="6">
        <v>28.6</v>
      </c>
      <c r="F45">
        <v>151</v>
      </c>
      <c r="G45" s="4">
        <f>(Table14[[#This Row],[Irradiance (W/m²)]]*0.18)</f>
        <v>27.18</v>
      </c>
      <c r="H45" s="34">
        <f>Table14[[#This Row],[Puissance solaire  par panneaux (W)]]*291/1000</f>
        <v>7.9093800000000005</v>
      </c>
      <c r="I45" s="4">
        <f>ABS(MIN(0,Table14[[#This Row],[Puissance consommée (kW)]]-(Table14[[#This Row],[Puissance  Eolienne (kW)]]+Table14[[#This Row],[Puissance solaire  (kW)]])))</f>
        <v>1.5093800000000002</v>
      </c>
      <c r="J45" s="4">
        <f>Table14[[#This Row],[Puissance solaire  (kW)]]+Table14[[#This Row],[Puissance  Eolienne (kW)]]-Table14[[#This Row],[Puissance consommée (kW)]]</f>
        <v>1.5093800000000002</v>
      </c>
      <c r="K45" s="4">
        <v>166.98</v>
      </c>
    </row>
    <row r="46" spans="2:11" x14ac:dyDescent="0.25">
      <c r="B46">
        <v>17</v>
      </c>
      <c r="C46">
        <v>40</v>
      </c>
      <c r="D46" s="3">
        <v>5.25</v>
      </c>
      <c r="E46" s="6">
        <v>27.7</v>
      </c>
      <c r="F46">
        <v>47</v>
      </c>
      <c r="G46" s="4">
        <f>(Table14[[#This Row],[Irradiance (W/m²)]]*0.18)</f>
        <v>8.4599999999999991</v>
      </c>
      <c r="H46" s="34">
        <f>Table14[[#This Row],[Puissance solaire  par panneaux (W)]]*291/1000</f>
        <v>2.4618599999999997</v>
      </c>
      <c r="I46" s="4">
        <f>ABS(MIN(0,Table14[[#This Row],[Puissance consommée (kW)]]-(Table14[[#This Row],[Puissance  Eolienne (kW)]]+Table14[[#This Row],[Puissance solaire  (kW)]])))</f>
        <v>0</v>
      </c>
      <c r="J46" s="4">
        <f>Table14[[#This Row],[Puissance solaire  (kW)]]+Table14[[#This Row],[Puissance  Eolienne (kW)]]-Table14[[#This Row],[Puissance consommée (kW)]]</f>
        <v>-9.8381400000000028</v>
      </c>
      <c r="K46" s="4">
        <v>168.49</v>
      </c>
    </row>
    <row r="47" spans="2:11" x14ac:dyDescent="0.25">
      <c r="B47">
        <v>18</v>
      </c>
      <c r="C47">
        <v>47</v>
      </c>
      <c r="D47" s="3">
        <v>5.13</v>
      </c>
      <c r="E47" s="6">
        <v>25.9</v>
      </c>
      <c r="F47">
        <v>7</v>
      </c>
      <c r="G47" s="4">
        <f>(Table14[[#This Row],[Irradiance (W/m²)]]*0.18)</f>
        <v>1.26</v>
      </c>
      <c r="H47" s="34">
        <f>Table14[[#This Row],[Puissance solaire  par panneaux (W)]]*291/1000</f>
        <v>0.36666000000000004</v>
      </c>
      <c r="I47" s="4">
        <f>ABS(MIN(0,Table14[[#This Row],[Puissance consommée (kW)]]-(Table14[[#This Row],[Puissance  Eolienne (kW)]]+Table14[[#This Row],[Puissance solaire  (kW)]])))</f>
        <v>0</v>
      </c>
      <c r="J47" s="4">
        <f>Table14[[#This Row],[Puissance solaire  (kW)]]+Table14[[#This Row],[Puissance  Eolienne (kW)]]-Table14[[#This Row],[Puissance consommée (kW)]]</f>
        <v>-20.733340000000002</v>
      </c>
      <c r="K47" s="4">
        <v>158.65</v>
      </c>
    </row>
    <row r="48" spans="2:11" x14ac:dyDescent="0.25">
      <c r="B48">
        <v>19</v>
      </c>
      <c r="C48">
        <v>50</v>
      </c>
      <c r="D48" s="3">
        <v>5.0999999999999996</v>
      </c>
      <c r="E48" s="6">
        <v>25.9</v>
      </c>
      <c r="F48">
        <v>0</v>
      </c>
      <c r="G48" s="4">
        <f>(Table14[[#This Row],[Irradiance (W/m²)]]*0.18)</f>
        <v>0</v>
      </c>
      <c r="H48" s="34">
        <f>Table14[[#This Row],[Puissance solaire  par panneaux (W)]]*291/1000</f>
        <v>0</v>
      </c>
      <c r="I48" s="4">
        <f>ABS(MIN(0,Table14[[#This Row],[Puissance consommée (kW)]]-(Table14[[#This Row],[Puissance  Eolienne (kW)]]+Table14[[#This Row],[Puissance solaire  (kW)]])))</f>
        <v>0</v>
      </c>
      <c r="J48" s="4">
        <f>Table14[[#This Row],[Puissance solaire  (kW)]]+Table14[[#This Row],[Puissance  Eolienne (kW)]]-Table14[[#This Row],[Puissance consommée (kW)]]</f>
        <v>-24.1</v>
      </c>
      <c r="K48" s="4">
        <v>137.91999999999999</v>
      </c>
    </row>
    <row r="49" spans="2:11" x14ac:dyDescent="0.25">
      <c r="B49">
        <v>20</v>
      </c>
      <c r="C49">
        <v>47</v>
      </c>
      <c r="D49" s="3">
        <v>5.1100000000000003</v>
      </c>
      <c r="E49" s="6">
        <v>25.9</v>
      </c>
      <c r="F49">
        <v>0</v>
      </c>
      <c r="G49" s="4">
        <f>(Table14[[#This Row],[Irradiance (W/m²)]]*0.18)</f>
        <v>0</v>
      </c>
      <c r="H49" s="34">
        <f>Table14[[#This Row],[Puissance solaire  par panneaux (W)]]*291/1000</f>
        <v>0</v>
      </c>
      <c r="I49" s="4">
        <f>ABS(MIN(0,Table14[[#This Row],[Puissance consommée (kW)]]-(Table14[[#This Row],[Puissance  Eolienne (kW)]]+Table14[[#This Row],[Puissance solaire  (kW)]])))</f>
        <v>0</v>
      </c>
      <c r="J49" s="4">
        <f>Table14[[#This Row],[Puissance solaire  (kW)]]+Table14[[#This Row],[Puissance  Eolienne (kW)]]-Table14[[#This Row],[Puissance consommée (kW)]]</f>
        <v>-21.1</v>
      </c>
      <c r="K49" s="4">
        <v>113.82</v>
      </c>
    </row>
    <row r="50" spans="2:11" x14ac:dyDescent="0.25">
      <c r="B50">
        <v>21</v>
      </c>
      <c r="C50">
        <v>40</v>
      </c>
      <c r="D50" s="3">
        <v>5.13</v>
      </c>
      <c r="E50" s="6">
        <v>25.9</v>
      </c>
      <c r="F50">
        <v>0</v>
      </c>
      <c r="G50" s="4">
        <f>(Table14[[#This Row],[Irradiance (W/m²)]]*0.18)</f>
        <v>0</v>
      </c>
      <c r="H50" s="34">
        <f>Table14[[#This Row],[Puissance solaire  par panneaux (W)]]*291/1000</f>
        <v>0</v>
      </c>
      <c r="I50" s="4">
        <f>ABS(MIN(0,Table14[[#This Row],[Puissance consommée (kW)]]-(Table14[[#This Row],[Puissance  Eolienne (kW)]]+Table14[[#This Row],[Puissance solaire  (kW)]])))</f>
        <v>0</v>
      </c>
      <c r="J50" s="4">
        <f>Table14[[#This Row],[Puissance solaire  (kW)]]+Table14[[#This Row],[Puissance  Eolienne (kW)]]-Table14[[#This Row],[Puissance consommée (kW)]]</f>
        <v>-14.100000000000001</v>
      </c>
      <c r="K50" s="4">
        <v>92.72</v>
      </c>
    </row>
    <row r="51" spans="2:11" x14ac:dyDescent="0.25">
      <c r="B51">
        <v>22</v>
      </c>
      <c r="C51">
        <v>35</v>
      </c>
      <c r="D51" s="3">
        <v>5.14</v>
      </c>
      <c r="E51" s="6">
        <v>25.9</v>
      </c>
      <c r="F51">
        <v>0</v>
      </c>
      <c r="G51" s="4">
        <f>(Table14[[#This Row],[Irradiance (W/m²)]]*0.18)</f>
        <v>0</v>
      </c>
      <c r="H51" s="34">
        <f>Table14[[#This Row],[Puissance solaire  par panneaux (W)]]*291/1000</f>
        <v>0</v>
      </c>
      <c r="I51" s="4">
        <f>ABS(MIN(0,Table14[[#This Row],[Puissance consommée (kW)]]-(Table14[[#This Row],[Puissance  Eolienne (kW)]]+Table14[[#This Row],[Puissance solaire  (kW)]])))</f>
        <v>0</v>
      </c>
      <c r="J51" s="4">
        <f>Table14[[#This Row],[Puissance solaire  (kW)]]+Table14[[#This Row],[Puissance  Eolienne (kW)]]-Table14[[#This Row],[Puissance consommée (kW)]]</f>
        <v>-9.1000000000000014</v>
      </c>
      <c r="K51" s="4">
        <v>78.62</v>
      </c>
    </row>
    <row r="52" spans="2:11" x14ac:dyDescent="0.25">
      <c r="B52">
        <v>23</v>
      </c>
      <c r="C52">
        <v>28</v>
      </c>
      <c r="D52" s="3">
        <v>5.14</v>
      </c>
      <c r="E52" s="6">
        <v>25.9</v>
      </c>
      <c r="F52">
        <v>0</v>
      </c>
      <c r="G52" s="4">
        <f>(Table14[[#This Row],[Irradiance (W/m²)]]*0.18)</f>
        <v>0</v>
      </c>
      <c r="H52" s="34">
        <f>Table14[[#This Row],[Puissance solaire  par panneaux (W)]]*291/1000</f>
        <v>0</v>
      </c>
      <c r="I52" s="4">
        <f>ABS(MIN(0,Table14[[#This Row],[Puissance consommée (kW)]]-(Table14[[#This Row],[Puissance  Eolienne (kW)]]+Table14[[#This Row],[Puissance solaire  (kW)]])))</f>
        <v>0</v>
      </c>
      <c r="J52" s="4">
        <f>Table14[[#This Row],[Puissance solaire  (kW)]]+Table14[[#This Row],[Puissance  Eolienne (kW)]]-Table14[[#This Row],[Puissance consommée (kW)]]</f>
        <v>-2.1000000000000014</v>
      </c>
      <c r="K52" s="4">
        <v>69.52</v>
      </c>
    </row>
    <row r="53" spans="2:11" x14ac:dyDescent="0.25">
      <c r="B53">
        <v>24</v>
      </c>
      <c r="C53">
        <v>28</v>
      </c>
      <c r="D53" s="3">
        <v>5.16</v>
      </c>
      <c r="E53" s="6">
        <v>26.8</v>
      </c>
      <c r="F53">
        <v>0</v>
      </c>
      <c r="G53" s="4">
        <f>(Table14[[#This Row],[Irradiance (W/m²)]]*0.18)</f>
        <v>0</v>
      </c>
      <c r="H53" s="34">
        <f>Table14[[#This Row],[Puissance solaire  par panneaux (W)]]*291/1000</f>
        <v>0</v>
      </c>
      <c r="I53" s="4">
        <f>ABS(MIN(0,Table14[[#This Row],[Puissance consommée (kW)]]-(Table14[[#This Row],[Puissance  Eolienne (kW)]]+Table14[[#This Row],[Puissance solaire  (kW)]])))</f>
        <v>0</v>
      </c>
      <c r="J53" s="4">
        <f>Table14[[#This Row],[Puissance solaire  (kW)]]+Table14[[#This Row],[Puissance  Eolienne (kW)]]-Table14[[#This Row],[Puissance consommée (kW)]]</f>
        <v>-1.1999999999999993</v>
      </c>
      <c r="K53" s="4">
        <v>67.42</v>
      </c>
    </row>
    <row r="54" spans="2:11" x14ac:dyDescent="0.25">
      <c r="B54">
        <v>0</v>
      </c>
      <c r="C54">
        <v>30</v>
      </c>
      <c r="D54" s="3">
        <v>5.16</v>
      </c>
      <c r="E54" s="6">
        <v>26.8</v>
      </c>
      <c r="F54">
        <v>0</v>
      </c>
      <c r="G54" s="4">
        <f>(Table14[[#This Row],[Irradiance (W/m²)]]*0.18)</f>
        <v>0</v>
      </c>
      <c r="H54" s="34">
        <f>Table14[[#This Row],[Puissance solaire  par panneaux (W)]]*291/1000</f>
        <v>0</v>
      </c>
      <c r="I54" s="4">
        <f>ABS(MIN(0,Table14[[#This Row],[Puissance consommée (kW)]]-(Table14[[#This Row],[Puissance  Eolienne (kW)]]+Table14[[#This Row],[Puissance solaire  (kW)]])))</f>
        <v>0</v>
      </c>
      <c r="J54" s="4">
        <f>Table14[[#This Row],[Puissance solaire  (kW)]]+Table14[[#This Row],[Puissance  Eolienne (kW)]]-Table14[[#This Row],[Puissance consommée (kW)]]</f>
        <v>-3.1999999999999993</v>
      </c>
      <c r="K54" s="4">
        <v>66.22</v>
      </c>
    </row>
    <row r="55" spans="2:11" x14ac:dyDescent="0.25">
      <c r="B55">
        <v>1</v>
      </c>
      <c r="C55">
        <v>30</v>
      </c>
      <c r="D55" s="3">
        <v>5.18</v>
      </c>
      <c r="E55" s="6">
        <v>26.8</v>
      </c>
      <c r="F55">
        <v>0</v>
      </c>
      <c r="G55" s="4">
        <f>(Table14[[#This Row],[Irradiance (W/m²)]]*0.18)</f>
        <v>0</v>
      </c>
      <c r="H55" s="34">
        <f>Table14[[#This Row],[Puissance solaire  par panneaux (W)]]*291/1000</f>
        <v>0</v>
      </c>
      <c r="I55" s="4">
        <f>ABS(MIN(0,Table14[[#This Row],[Puissance consommée (kW)]]-(Table14[[#This Row],[Puissance  Eolienne (kW)]]+Table14[[#This Row],[Puissance solaire  (kW)]])))</f>
        <v>0</v>
      </c>
      <c r="J55" s="4">
        <f>Table14[[#This Row],[Puissance solaire  (kW)]]+Table14[[#This Row],[Puissance  Eolienne (kW)]]-Table14[[#This Row],[Puissance consommée (kW)]]</f>
        <v>-3.1999999999999993</v>
      </c>
      <c r="K55" s="4">
        <v>63.02</v>
      </c>
    </row>
    <row r="56" spans="2:11" x14ac:dyDescent="0.25">
      <c r="B56">
        <v>2</v>
      </c>
      <c r="C56">
        <v>30</v>
      </c>
      <c r="D56" s="3">
        <v>5.2</v>
      </c>
      <c r="E56" s="6">
        <v>26.8</v>
      </c>
      <c r="F56">
        <v>0</v>
      </c>
      <c r="G56" s="4">
        <f>(Table14[[#This Row],[Irradiance (W/m²)]]*0.18)</f>
        <v>0</v>
      </c>
      <c r="H56" s="34">
        <f>Table14[[#This Row],[Puissance solaire  par panneaux (W)]]*291/1000</f>
        <v>0</v>
      </c>
      <c r="I56" s="4">
        <f>ABS(MIN(0,Table14[[#This Row],[Puissance consommée (kW)]]-(Table14[[#This Row],[Puissance  Eolienne (kW)]]+Table14[[#This Row],[Puissance solaire  (kW)]])))</f>
        <v>0</v>
      </c>
      <c r="J56" s="4">
        <f>Table14[[#This Row],[Puissance solaire  (kW)]]+Table14[[#This Row],[Puissance  Eolienne (kW)]]-Table14[[#This Row],[Puissance consommée (kW)]]</f>
        <v>-3.1999999999999993</v>
      </c>
      <c r="K56" s="4">
        <v>59.82</v>
      </c>
    </row>
    <row r="57" spans="2:11" x14ac:dyDescent="0.25">
      <c r="B57">
        <v>3</v>
      </c>
      <c r="C57">
        <v>30</v>
      </c>
      <c r="D57" s="3">
        <v>5.2</v>
      </c>
      <c r="E57" s="6">
        <v>26.8</v>
      </c>
      <c r="F57">
        <v>0</v>
      </c>
      <c r="G57" s="4">
        <f>(Table14[[#This Row],[Irradiance (W/m²)]]*0.18)</f>
        <v>0</v>
      </c>
      <c r="H57" s="34">
        <f>Table14[[#This Row],[Puissance solaire  par panneaux (W)]]*291/1000</f>
        <v>0</v>
      </c>
      <c r="I57" s="4">
        <f>ABS(MIN(0,Table14[[#This Row],[Puissance consommée (kW)]]-(Table14[[#This Row],[Puissance  Eolienne (kW)]]+Table14[[#This Row],[Puissance solaire  (kW)]])))</f>
        <v>0</v>
      </c>
      <c r="J57" s="4">
        <f>Table14[[#This Row],[Puissance solaire  (kW)]]+Table14[[#This Row],[Puissance  Eolienne (kW)]]-Table14[[#This Row],[Puissance consommée (kW)]]</f>
        <v>-3.1999999999999993</v>
      </c>
      <c r="K57" s="4">
        <v>56.62</v>
      </c>
    </row>
    <row r="58" spans="2:11" x14ac:dyDescent="0.25">
      <c r="B58">
        <v>4</v>
      </c>
      <c r="C58">
        <v>30</v>
      </c>
      <c r="D58" s="3">
        <v>5.19</v>
      </c>
      <c r="E58" s="6">
        <v>26.8</v>
      </c>
      <c r="F58">
        <v>1</v>
      </c>
      <c r="G58" s="4">
        <f>(Table14[[#This Row],[Irradiance (W/m²)]]*0.18)</f>
        <v>0.18</v>
      </c>
      <c r="H58" s="34">
        <f>Table14[[#This Row],[Puissance solaire  par panneaux (W)]]*291/1000</f>
        <v>5.2379999999999996E-2</v>
      </c>
      <c r="I58" s="4">
        <f>ABS(MIN(0,Table14[[#This Row],[Puissance consommée (kW)]]-(Table14[[#This Row],[Puissance  Eolienne (kW)]]+Table14[[#This Row],[Puissance solaire  (kW)]])))</f>
        <v>0</v>
      </c>
      <c r="J58" s="4">
        <f>Table14[[#This Row],[Puissance solaire  (kW)]]+Table14[[#This Row],[Puissance  Eolienne (kW)]]-Table14[[#This Row],[Puissance consommée (kW)]]</f>
        <v>-3.1476199999999999</v>
      </c>
      <c r="K58" s="4">
        <v>53.42</v>
      </c>
    </row>
    <row r="59" spans="2:11" x14ac:dyDescent="0.25">
      <c r="B59">
        <v>5</v>
      </c>
      <c r="C59">
        <v>33</v>
      </c>
      <c r="D59" s="3">
        <v>5.17</v>
      </c>
      <c r="E59" s="6">
        <v>26.8</v>
      </c>
      <c r="F59">
        <v>13</v>
      </c>
      <c r="G59" s="4">
        <f>(Table14[[#This Row],[Irradiance (W/m²)]]*0.18)</f>
        <v>2.34</v>
      </c>
      <c r="H59" s="34">
        <f>Table14[[#This Row],[Puissance solaire  par panneaux (W)]]*291/1000</f>
        <v>0.68093999999999999</v>
      </c>
      <c r="I59" s="4">
        <f>ABS(MIN(0,Table14[[#This Row],[Puissance consommée (kW)]]-(Table14[[#This Row],[Puissance  Eolienne (kW)]]+Table14[[#This Row],[Puissance solaire  (kW)]])))</f>
        <v>0</v>
      </c>
      <c r="J59" s="4">
        <f>Table14[[#This Row],[Puissance solaire  (kW)]]+Table14[[#This Row],[Puissance  Eolienne (kW)]]-Table14[[#This Row],[Puissance consommée (kW)]]</f>
        <v>-5.5190599999999996</v>
      </c>
      <c r="K59" s="4">
        <v>50.27</v>
      </c>
    </row>
    <row r="60" spans="2:11" x14ac:dyDescent="0.25">
      <c r="B60">
        <v>6</v>
      </c>
      <c r="C60">
        <v>35</v>
      </c>
      <c r="D60" s="3">
        <v>5.16</v>
      </c>
      <c r="E60" s="6">
        <v>26.8</v>
      </c>
      <c r="F60">
        <v>81</v>
      </c>
      <c r="G60" s="4">
        <f>(Table14[[#This Row],[Irradiance (W/m²)]]*0.18)</f>
        <v>14.58</v>
      </c>
      <c r="H60" s="34">
        <f>Table14[[#This Row],[Puissance solaire  par panneaux (W)]]*291/1000</f>
        <v>4.2427799999999998</v>
      </c>
      <c r="I60" s="4">
        <f>ABS(MIN(0,Table14[[#This Row],[Puissance consommée (kW)]]-(Table14[[#This Row],[Puissance  Eolienne (kW)]]+Table14[[#This Row],[Puissance solaire  (kW)]])))</f>
        <v>0</v>
      </c>
      <c r="J60" s="4">
        <f>Table14[[#This Row],[Puissance solaire  (kW)]]+Table14[[#This Row],[Puissance  Eolienne (kW)]]-Table14[[#This Row],[Puissance consommée (kW)]]</f>
        <v>-3.9572199999999995</v>
      </c>
      <c r="K60" s="4">
        <v>44.75</v>
      </c>
    </row>
    <row r="61" spans="2:11" x14ac:dyDescent="0.25">
      <c r="B61">
        <v>7</v>
      </c>
      <c r="C61">
        <v>40</v>
      </c>
      <c r="D61" s="3">
        <v>5.2</v>
      </c>
      <c r="E61" s="6">
        <v>26.8</v>
      </c>
      <c r="F61">
        <v>217</v>
      </c>
      <c r="G61" s="4">
        <f>(Table14[[#This Row],[Irradiance (W/m²)]]*0.18)</f>
        <v>39.059999999999995</v>
      </c>
      <c r="H61" s="34">
        <f>Table14[[#This Row],[Puissance solaire  par panneaux (W)]]*291/1000</f>
        <v>11.36646</v>
      </c>
      <c r="I61" s="4">
        <f>ABS(MIN(0,Table14[[#This Row],[Puissance consommée (kW)]]-(Table14[[#This Row],[Puissance  Eolienne (kW)]]+Table14[[#This Row],[Puissance solaire  (kW)]])))</f>
        <v>0</v>
      </c>
      <c r="J61" s="4">
        <f>Table14[[#This Row],[Puissance solaire  (kW)]]+Table14[[#This Row],[Puissance  Eolienne (kW)]]-Table14[[#This Row],[Puissance consommée (kW)]]</f>
        <v>-1.8335399999999993</v>
      </c>
      <c r="K61" s="4">
        <v>40.79</v>
      </c>
    </row>
    <row r="62" spans="2:11" x14ac:dyDescent="0.25">
      <c r="B62">
        <v>8</v>
      </c>
      <c r="C62">
        <v>45</v>
      </c>
      <c r="D62" s="3">
        <v>5.26</v>
      </c>
      <c r="E62" s="6">
        <v>27.7</v>
      </c>
      <c r="F62">
        <v>389</v>
      </c>
      <c r="G62" s="4">
        <f>(Table14[[#This Row],[Irradiance (W/m²)]]*0.18)</f>
        <v>70.02</v>
      </c>
      <c r="H62" s="34">
        <f>Table14[[#This Row],[Puissance solaire  par panneaux (W)]]*291/1000</f>
        <v>20.375820000000001</v>
      </c>
      <c r="I62" s="4">
        <f>ABS(MIN(0,Table14[[#This Row],[Puissance consommée (kW)]]-(Table14[[#This Row],[Puissance  Eolienne (kW)]]+Table14[[#This Row],[Puissance solaire  (kW)]])))</f>
        <v>3.0758200000000002</v>
      </c>
      <c r="J62" s="4">
        <f>Table14[[#This Row],[Puissance solaire  (kW)]]+Table14[[#This Row],[Puissance  Eolienne (kW)]]-Table14[[#This Row],[Puissance consommée (kW)]]</f>
        <v>3.0758200000000002</v>
      </c>
      <c r="K62" s="4">
        <v>38.96</v>
      </c>
    </row>
    <row r="63" spans="2:11" x14ac:dyDescent="0.25">
      <c r="B63">
        <v>9</v>
      </c>
      <c r="C63">
        <v>50</v>
      </c>
      <c r="D63" s="3">
        <v>5.32</v>
      </c>
      <c r="E63" s="6">
        <v>27.7</v>
      </c>
      <c r="F63">
        <v>526</v>
      </c>
      <c r="G63" s="4">
        <f>(Table14[[#This Row],[Irradiance (W/m²)]]*0.18)</f>
        <v>94.679999999999993</v>
      </c>
      <c r="H63" s="34">
        <f>Table14[[#This Row],[Puissance solaire  par panneaux (W)]]*291/1000</f>
        <v>27.551879999999997</v>
      </c>
      <c r="I63" s="4">
        <f>ABS(MIN(0,Table14[[#This Row],[Puissance consommée (kW)]]-(Table14[[#This Row],[Puissance  Eolienne (kW)]]+Table14[[#This Row],[Puissance solaire  (kW)]])))</f>
        <v>5.2518799999999999</v>
      </c>
      <c r="J63" s="4">
        <f>Table14[[#This Row],[Puissance solaire  (kW)]]+Table14[[#This Row],[Puissance  Eolienne (kW)]]-Table14[[#This Row],[Puissance consommée (kW)]]</f>
        <v>5.2518799999999999</v>
      </c>
      <c r="K63" s="4">
        <v>42.04</v>
      </c>
    </row>
    <row r="64" spans="2:11" x14ac:dyDescent="0.25">
      <c r="B64">
        <v>10</v>
      </c>
      <c r="C64">
        <v>45</v>
      </c>
      <c r="D64" s="3">
        <v>5.39</v>
      </c>
      <c r="E64" s="6">
        <v>28.6</v>
      </c>
      <c r="F64">
        <v>616</v>
      </c>
      <c r="G64" s="4">
        <f>(Table14[[#This Row],[Irradiance (W/m²)]]*0.18)</f>
        <v>110.88</v>
      </c>
      <c r="H64" s="34">
        <f>Table14[[#This Row],[Puissance solaire  par panneaux (W)]]*291/1000</f>
        <v>32.266079999999995</v>
      </c>
      <c r="I64" s="4">
        <f>ABS(MIN(0,Table14[[#This Row],[Puissance consommée (kW)]]-(Table14[[#This Row],[Puissance  Eolienne (kW)]]+Table14[[#This Row],[Puissance solaire  (kW)]])))</f>
        <v>15.866079999999997</v>
      </c>
      <c r="J64" s="4">
        <f>Table14[[#This Row],[Puissance solaire  (kW)]]+Table14[[#This Row],[Puissance  Eolienne (kW)]]-Table14[[#This Row],[Puissance consommée (kW)]]</f>
        <v>15.866079999999997</v>
      </c>
      <c r="K64" s="4">
        <v>47.29</v>
      </c>
    </row>
    <row r="65" spans="2:11" x14ac:dyDescent="0.25">
      <c r="B65">
        <v>11</v>
      </c>
      <c r="C65">
        <v>40</v>
      </c>
      <c r="D65" s="3">
        <v>5.46</v>
      </c>
      <c r="E65" s="6">
        <v>29.5</v>
      </c>
      <c r="F65">
        <v>654</v>
      </c>
      <c r="G65" s="4">
        <f>(Table14[[#This Row],[Irradiance (W/m²)]]*0.18)</f>
        <v>117.72</v>
      </c>
      <c r="H65" s="34">
        <f>Table14[[#This Row],[Puissance solaire  par panneaux (W)]]*291/1000</f>
        <v>34.256519999999995</v>
      </c>
      <c r="I65" s="4">
        <f>ABS(MIN(0,Table14[[#This Row],[Puissance consommée (kW)]]-(Table14[[#This Row],[Puissance  Eolienne (kW)]]+Table14[[#This Row],[Puissance solaire  (kW)]])))</f>
        <v>23.756519999999995</v>
      </c>
      <c r="J65" s="4">
        <f>Table14[[#This Row],[Puissance solaire  (kW)]]+Table14[[#This Row],[Puissance  Eolienne (kW)]]-Table14[[#This Row],[Puissance consommée (kW)]]</f>
        <v>23.756519999999995</v>
      </c>
      <c r="K65" s="4">
        <v>63.16</v>
      </c>
    </row>
    <row r="66" spans="2:11" x14ac:dyDescent="0.25">
      <c r="B66">
        <v>12</v>
      </c>
      <c r="C66">
        <v>35</v>
      </c>
      <c r="D66" s="3">
        <v>5.53</v>
      </c>
      <c r="E66" s="6">
        <v>29.5</v>
      </c>
      <c r="F66">
        <v>640</v>
      </c>
      <c r="G66" s="4">
        <f>(Table14[[#This Row],[Irradiance (W/m²)]]*0.18)</f>
        <v>115.19999999999999</v>
      </c>
      <c r="H66" s="34">
        <f>Table14[[#This Row],[Puissance solaire  par panneaux (W)]]*291/1000</f>
        <v>33.523199999999996</v>
      </c>
      <c r="I66" s="4">
        <f>ABS(MIN(0,Table14[[#This Row],[Puissance consommée (kW)]]-(Table14[[#This Row],[Puissance  Eolienne (kW)]]+Table14[[#This Row],[Puissance solaire  (kW)]])))</f>
        <v>28.023199999999996</v>
      </c>
      <c r="J66" s="4">
        <f>Table14[[#This Row],[Puissance solaire  (kW)]]+Table14[[#This Row],[Puissance  Eolienne (kW)]]-Table14[[#This Row],[Puissance consommée (kW)]]</f>
        <v>28.023199999999996</v>
      </c>
      <c r="K66" s="4">
        <v>86.92</v>
      </c>
    </row>
    <row r="67" spans="2:11" x14ac:dyDescent="0.25">
      <c r="B67">
        <v>13</v>
      </c>
      <c r="C67">
        <v>36</v>
      </c>
      <c r="D67" s="3">
        <v>5.6</v>
      </c>
      <c r="E67" s="6">
        <v>30.4</v>
      </c>
      <c r="F67">
        <v>573</v>
      </c>
      <c r="G67" s="4">
        <f>(Table14[[#This Row],[Irradiance (W/m²)]]*0.18)</f>
        <v>103.14</v>
      </c>
      <c r="H67" s="34">
        <f>Table14[[#This Row],[Puissance solaire  par panneaux (W)]]*291/1000</f>
        <v>30.013740000000002</v>
      </c>
      <c r="I67" s="4">
        <f>ABS(MIN(0,Table14[[#This Row],[Puissance consommée (kW)]]-(Table14[[#This Row],[Puissance  Eolienne (kW)]]+Table14[[#This Row],[Puissance solaire  (kW)]])))</f>
        <v>24.413740000000004</v>
      </c>
      <c r="J67" s="4">
        <f>Table14[[#This Row],[Puissance solaire  (kW)]]+Table14[[#This Row],[Puissance  Eolienne (kW)]]-Table14[[#This Row],[Puissance consommée (kW)]]</f>
        <v>24.413740000000004</v>
      </c>
      <c r="K67" s="4">
        <v>114.94</v>
      </c>
    </row>
    <row r="68" spans="2:11" x14ac:dyDescent="0.25">
      <c r="B68">
        <v>14</v>
      </c>
      <c r="C68">
        <v>36</v>
      </c>
      <c r="D68" s="3">
        <v>5.57</v>
      </c>
      <c r="E68" s="6">
        <v>30.4</v>
      </c>
      <c r="F68">
        <v>462</v>
      </c>
      <c r="G68" s="4">
        <f>(Table14[[#This Row],[Irradiance (W/m²)]]*0.18)</f>
        <v>83.16</v>
      </c>
      <c r="H68" s="34">
        <f>Table14[[#This Row],[Puissance solaire  par panneaux (W)]]*291/1000</f>
        <v>24.199559999999998</v>
      </c>
      <c r="I68" s="4">
        <f>ABS(MIN(0,Table14[[#This Row],[Puissance consommée (kW)]]-(Table14[[#This Row],[Puissance  Eolienne (kW)]]+Table14[[#This Row],[Puissance solaire  (kW)]])))</f>
        <v>18.599559999999997</v>
      </c>
      <c r="J68" s="4">
        <f>Table14[[#This Row],[Puissance solaire  (kW)]]+Table14[[#This Row],[Puissance  Eolienne (kW)]]-Table14[[#This Row],[Puissance consommée (kW)]]</f>
        <v>18.599559999999997</v>
      </c>
      <c r="K68" s="4">
        <v>139.35</v>
      </c>
    </row>
    <row r="69" spans="2:11" x14ac:dyDescent="0.25">
      <c r="B69">
        <v>15</v>
      </c>
      <c r="C69">
        <v>36</v>
      </c>
      <c r="D69" s="3">
        <v>5.5</v>
      </c>
      <c r="E69" s="6">
        <v>29.5</v>
      </c>
      <c r="F69">
        <v>311</v>
      </c>
      <c r="G69" s="4">
        <f>(Table14[[#This Row],[Irradiance (W/m²)]]*0.18)</f>
        <v>55.98</v>
      </c>
      <c r="H69" s="34">
        <f>Table14[[#This Row],[Puissance solaire  par panneaux (W)]]*291/1000</f>
        <v>16.290179999999999</v>
      </c>
      <c r="I69" s="4">
        <f>ABS(MIN(0,Table14[[#This Row],[Puissance consommée (kW)]]-(Table14[[#This Row],[Puissance  Eolienne (kW)]]+Table14[[#This Row],[Puissance solaire  (kW)]])))</f>
        <v>9.7901799999999994</v>
      </c>
      <c r="J69" s="4">
        <f>Table14[[#This Row],[Puissance solaire  (kW)]]+Table14[[#This Row],[Puissance  Eolienne (kW)]]-Table14[[#This Row],[Puissance consommée (kW)]]</f>
        <v>9.7901799999999994</v>
      </c>
      <c r="K69" s="4">
        <v>157.94999999999999</v>
      </c>
    </row>
    <row r="70" spans="2:11" x14ac:dyDescent="0.25">
      <c r="B70">
        <v>16</v>
      </c>
      <c r="C70">
        <v>35</v>
      </c>
      <c r="D70" s="3">
        <v>5.39</v>
      </c>
      <c r="E70" s="6">
        <v>28.6</v>
      </c>
      <c r="F70">
        <v>151</v>
      </c>
      <c r="G70" s="4">
        <f>(Table14[[#This Row],[Irradiance (W/m²)]]*0.18)</f>
        <v>27.18</v>
      </c>
      <c r="H70" s="34">
        <f>Table14[[#This Row],[Puissance solaire  par panneaux (W)]]*291/1000</f>
        <v>7.9093800000000005</v>
      </c>
      <c r="I70" s="4">
        <f>ABS(MIN(0,Table14[[#This Row],[Puissance consommée (kW)]]-(Table14[[#This Row],[Puissance  Eolienne (kW)]]+Table14[[#This Row],[Puissance solaire  (kW)]])))</f>
        <v>1.5093800000000002</v>
      </c>
      <c r="J70" s="4">
        <f>Table14[[#This Row],[Puissance solaire  (kW)]]+Table14[[#This Row],[Puissance  Eolienne (kW)]]-Table14[[#This Row],[Puissance consommée (kW)]]</f>
        <v>1.5093800000000002</v>
      </c>
      <c r="K70" s="4">
        <v>167.74</v>
      </c>
    </row>
    <row r="71" spans="2:11" x14ac:dyDescent="0.25">
      <c r="B71">
        <v>17</v>
      </c>
      <c r="C71">
        <v>40</v>
      </c>
      <c r="D71" s="3">
        <v>5.25</v>
      </c>
      <c r="E71" s="6">
        <v>27.7</v>
      </c>
      <c r="F71">
        <v>47</v>
      </c>
      <c r="G71" s="4">
        <f>(Table14[[#This Row],[Irradiance (W/m²)]]*0.18)</f>
        <v>8.4599999999999991</v>
      </c>
      <c r="H71" s="34">
        <f>Table14[[#This Row],[Puissance solaire  par panneaux (W)]]*291/1000</f>
        <v>2.4618599999999997</v>
      </c>
      <c r="I71" s="4">
        <f>ABS(MIN(0,Table14[[#This Row],[Puissance consommée (kW)]]-(Table14[[#This Row],[Puissance  Eolienne (kW)]]+Table14[[#This Row],[Puissance solaire  (kW)]])))</f>
        <v>0</v>
      </c>
      <c r="J71" s="4">
        <f>Table14[[#This Row],[Puissance solaire  (kW)]]+Table14[[#This Row],[Puissance  Eolienne (kW)]]-Table14[[#This Row],[Puissance consommée (kW)]]</f>
        <v>-9.8381400000000028</v>
      </c>
      <c r="K71" s="4">
        <v>169.25</v>
      </c>
    </row>
    <row r="72" spans="2:11" x14ac:dyDescent="0.25">
      <c r="B72">
        <v>18</v>
      </c>
      <c r="C72">
        <v>47</v>
      </c>
      <c r="D72" s="3">
        <v>5.13</v>
      </c>
      <c r="E72" s="6">
        <v>25.9</v>
      </c>
      <c r="F72">
        <v>7</v>
      </c>
      <c r="G72" s="4">
        <f>(Table14[[#This Row],[Irradiance (W/m²)]]*0.18)</f>
        <v>1.26</v>
      </c>
      <c r="H72" s="34">
        <f>Table14[[#This Row],[Puissance solaire  par panneaux (W)]]*291/1000</f>
        <v>0.36666000000000004</v>
      </c>
      <c r="I72" s="4">
        <f>ABS(MIN(0,Table14[[#This Row],[Puissance consommée (kW)]]-(Table14[[#This Row],[Puissance  Eolienne (kW)]]+Table14[[#This Row],[Puissance solaire  (kW)]])))</f>
        <v>0</v>
      </c>
      <c r="J72" s="4">
        <f>Table14[[#This Row],[Puissance solaire  (kW)]]+Table14[[#This Row],[Puissance  Eolienne (kW)]]-Table14[[#This Row],[Puissance consommée (kW)]]</f>
        <v>-20.733340000000002</v>
      </c>
      <c r="K72" s="4">
        <v>159.41</v>
      </c>
    </row>
    <row r="73" spans="2:11" x14ac:dyDescent="0.25">
      <c r="B73">
        <v>19</v>
      </c>
      <c r="C73">
        <v>50</v>
      </c>
      <c r="D73" s="3">
        <v>5.0999999999999996</v>
      </c>
      <c r="E73" s="6">
        <v>25.9</v>
      </c>
      <c r="F73">
        <v>0</v>
      </c>
      <c r="G73" s="4">
        <f>(Table14[[#This Row],[Irradiance (W/m²)]]*0.18)</f>
        <v>0</v>
      </c>
      <c r="H73" s="34">
        <f>Table14[[#This Row],[Puissance solaire  par panneaux (W)]]*291/1000</f>
        <v>0</v>
      </c>
      <c r="I73" s="4">
        <f>ABS(MIN(0,Table14[[#This Row],[Puissance consommée (kW)]]-(Table14[[#This Row],[Puissance  Eolienne (kW)]]+Table14[[#This Row],[Puissance solaire  (kW)]])))</f>
        <v>0</v>
      </c>
      <c r="J73" s="4">
        <f>Table14[[#This Row],[Puissance solaire  (kW)]]+Table14[[#This Row],[Puissance  Eolienne (kW)]]-Table14[[#This Row],[Puissance consommée (kW)]]</f>
        <v>-24.1</v>
      </c>
      <c r="K73" s="4">
        <v>138.68</v>
      </c>
    </row>
    <row r="74" spans="2:11" x14ac:dyDescent="0.25">
      <c r="B74">
        <v>20</v>
      </c>
      <c r="C74">
        <v>47</v>
      </c>
      <c r="D74" s="3">
        <v>5.1100000000000003</v>
      </c>
      <c r="E74" s="6">
        <v>25.9</v>
      </c>
      <c r="F74">
        <v>0</v>
      </c>
      <c r="G74" s="4">
        <f>(Table14[[#This Row],[Irradiance (W/m²)]]*0.18)</f>
        <v>0</v>
      </c>
      <c r="H74" s="34">
        <f>Table14[[#This Row],[Puissance solaire  par panneaux (W)]]*291/1000</f>
        <v>0</v>
      </c>
      <c r="I74" s="4">
        <f>ABS(MIN(0,Table14[[#This Row],[Puissance consommée (kW)]]-(Table14[[#This Row],[Puissance  Eolienne (kW)]]+Table14[[#This Row],[Puissance solaire  (kW)]])))</f>
        <v>0</v>
      </c>
      <c r="J74" s="4">
        <f>Table14[[#This Row],[Puissance solaire  (kW)]]+Table14[[#This Row],[Puissance  Eolienne (kW)]]-Table14[[#This Row],[Puissance consommée (kW)]]</f>
        <v>-21.1</v>
      </c>
      <c r="K74" s="4">
        <v>114.58</v>
      </c>
    </row>
    <row r="75" spans="2:11" x14ac:dyDescent="0.25">
      <c r="B75">
        <v>21</v>
      </c>
      <c r="C75">
        <v>40</v>
      </c>
      <c r="D75" s="3">
        <v>5.13</v>
      </c>
      <c r="E75" s="6">
        <v>25.9</v>
      </c>
      <c r="F75">
        <v>0</v>
      </c>
      <c r="G75" s="4">
        <f>(Table14[[#This Row],[Irradiance (W/m²)]]*0.18)</f>
        <v>0</v>
      </c>
      <c r="H75" s="34">
        <f>Table14[[#This Row],[Puissance solaire  par panneaux (W)]]*291/1000</f>
        <v>0</v>
      </c>
      <c r="I75" s="4">
        <f>ABS(MIN(0,Table14[[#This Row],[Puissance consommée (kW)]]-(Table14[[#This Row],[Puissance  Eolienne (kW)]]+Table14[[#This Row],[Puissance solaire  (kW)]])))</f>
        <v>0</v>
      </c>
      <c r="J75" s="4">
        <f>Table14[[#This Row],[Puissance solaire  (kW)]]+Table14[[#This Row],[Puissance  Eolienne (kW)]]-Table14[[#This Row],[Puissance consommée (kW)]]</f>
        <v>-14.100000000000001</v>
      </c>
      <c r="K75" s="4">
        <v>93.48</v>
      </c>
    </row>
    <row r="76" spans="2:11" x14ac:dyDescent="0.25">
      <c r="B76">
        <v>22</v>
      </c>
      <c r="C76">
        <v>35</v>
      </c>
      <c r="D76" s="3">
        <v>5.14</v>
      </c>
      <c r="E76" s="6">
        <v>25.9</v>
      </c>
      <c r="F76">
        <v>0</v>
      </c>
      <c r="G76" s="4">
        <f>(Table14[[#This Row],[Irradiance (W/m²)]]*0.18)</f>
        <v>0</v>
      </c>
      <c r="H76" s="34">
        <f>Table14[[#This Row],[Puissance solaire  par panneaux (W)]]*291/1000</f>
        <v>0</v>
      </c>
      <c r="I76" s="4">
        <f>ABS(MIN(0,Table14[[#This Row],[Puissance consommée (kW)]]-(Table14[[#This Row],[Puissance  Eolienne (kW)]]+Table14[[#This Row],[Puissance solaire  (kW)]])))</f>
        <v>0</v>
      </c>
      <c r="J76" s="4">
        <f>Table14[[#This Row],[Puissance solaire  (kW)]]+Table14[[#This Row],[Puissance  Eolienne (kW)]]-Table14[[#This Row],[Puissance consommée (kW)]]</f>
        <v>-9.1000000000000014</v>
      </c>
      <c r="K76" s="4">
        <v>79.38</v>
      </c>
    </row>
    <row r="77" spans="2:11" x14ac:dyDescent="0.25">
      <c r="B77">
        <v>23</v>
      </c>
      <c r="C77">
        <v>28</v>
      </c>
      <c r="D77" s="3">
        <v>5.14</v>
      </c>
      <c r="E77" s="6">
        <v>25.9</v>
      </c>
      <c r="F77">
        <v>0</v>
      </c>
      <c r="G77" s="4">
        <f>(Table14[[#This Row],[Irradiance (W/m²)]]*0.18)</f>
        <v>0</v>
      </c>
      <c r="H77" s="34">
        <f>Table14[[#This Row],[Puissance solaire  par panneaux (W)]]*291/1000</f>
        <v>0</v>
      </c>
      <c r="I77" s="4">
        <f>ABS(MIN(0,Table14[[#This Row],[Puissance consommée (kW)]]-(Table14[[#This Row],[Puissance  Eolienne (kW)]]+Table14[[#This Row],[Puissance solaire  (kW)]])))</f>
        <v>0</v>
      </c>
      <c r="J77" s="4">
        <f>Table14[[#This Row],[Puissance solaire  (kW)]]+Table14[[#This Row],[Puissance  Eolienne (kW)]]-Table14[[#This Row],[Puissance consommée (kW)]]</f>
        <v>-2.1000000000000014</v>
      </c>
      <c r="K77" s="4">
        <v>70.28</v>
      </c>
    </row>
    <row r="78" spans="2:11" x14ac:dyDescent="0.25">
      <c r="B78">
        <v>24</v>
      </c>
      <c r="C78">
        <v>28</v>
      </c>
      <c r="D78" s="3">
        <v>5.16</v>
      </c>
      <c r="E78" s="6">
        <v>26.8</v>
      </c>
      <c r="F78">
        <v>0</v>
      </c>
      <c r="G78" s="4">
        <f>(Table14[[#This Row],[Irradiance (W/m²)]]*0.18)</f>
        <v>0</v>
      </c>
      <c r="H78" s="34">
        <f>Table14[[#This Row],[Puissance solaire  par panneaux (W)]]*291/1000</f>
        <v>0</v>
      </c>
      <c r="I78" s="4">
        <f>ABS(MIN(0,Table14[[#This Row],[Puissance consommée (kW)]]-(Table14[[#This Row],[Puissance  Eolienne (kW)]]+Table14[[#This Row],[Puissance solaire  (kW)]])))</f>
        <v>0</v>
      </c>
      <c r="J78" s="4">
        <f>Table14[[#This Row],[Puissance solaire  (kW)]]+Table14[[#This Row],[Puissance  Eolienne (kW)]]-Table14[[#This Row],[Puissance consommée (kW)]]</f>
        <v>-1.1999999999999993</v>
      </c>
      <c r="K78" s="4">
        <v>68.180000000000007</v>
      </c>
    </row>
    <row r="79" spans="2:11" x14ac:dyDescent="0.25">
      <c r="D79" s="3"/>
      <c r="E79" s="33"/>
      <c r="G79" s="4"/>
      <c r="H79" s="34"/>
      <c r="I79" s="4"/>
      <c r="J79" s="4"/>
      <c r="K79" s="4"/>
    </row>
    <row r="80" spans="2:11" x14ac:dyDescent="0.25">
      <c r="D80" s="3"/>
      <c r="E80" s="33"/>
      <c r="G80" s="4"/>
      <c r="H80" s="34"/>
      <c r="I80" s="4"/>
      <c r="J80" s="4"/>
      <c r="K80" s="4"/>
    </row>
    <row r="81" spans="4:11" x14ac:dyDescent="0.25">
      <c r="D81" s="3"/>
      <c r="E81" s="33"/>
      <c r="G81" s="4"/>
      <c r="H81" s="34"/>
      <c r="I81" s="4"/>
      <c r="J81" s="4"/>
      <c r="K81" s="4"/>
    </row>
    <row r="82" spans="4:11" x14ac:dyDescent="0.25">
      <c r="D82" s="3"/>
      <c r="E82" s="33"/>
      <c r="G82" s="4"/>
      <c r="H82" s="34"/>
      <c r="I82" s="4"/>
      <c r="J82" s="4"/>
      <c r="K82" s="4"/>
    </row>
    <row r="83" spans="4:11" x14ac:dyDescent="0.25">
      <c r="D83" s="3"/>
      <c r="E83" s="33"/>
      <c r="G83" s="4"/>
      <c r="H83" s="34"/>
      <c r="I83" s="4"/>
      <c r="J83" s="4"/>
      <c r="K83" s="4"/>
    </row>
    <row r="84" spans="4:11" x14ac:dyDescent="0.25">
      <c r="D84" s="3"/>
      <c r="E84" s="33"/>
      <c r="G84" s="4"/>
      <c r="H84" s="34"/>
      <c r="I84" s="4"/>
      <c r="J84" s="4"/>
      <c r="K84" s="4"/>
    </row>
    <row r="85" spans="4:11" x14ac:dyDescent="0.25">
      <c r="D85" s="3"/>
      <c r="E85" s="33"/>
      <c r="G85" s="4"/>
      <c r="H85" s="34"/>
      <c r="I85" s="4"/>
      <c r="J85" s="4"/>
      <c r="K85" s="4"/>
    </row>
    <row r="86" spans="4:11" x14ac:dyDescent="0.25">
      <c r="D86" s="3"/>
      <c r="E86" s="33"/>
      <c r="G86" s="4"/>
      <c r="H86" s="34"/>
      <c r="I86" s="4"/>
      <c r="J86" s="4"/>
      <c r="K86" s="4"/>
    </row>
    <row r="87" spans="4:11" x14ac:dyDescent="0.25">
      <c r="D87" s="3"/>
      <c r="E87" s="33"/>
      <c r="G87" s="4"/>
      <c r="H87" s="34"/>
      <c r="I87" s="4"/>
      <c r="J87" s="4"/>
      <c r="K87" s="4"/>
    </row>
    <row r="88" spans="4:11" x14ac:dyDescent="0.25">
      <c r="D88" s="3"/>
      <c r="E88" s="33"/>
      <c r="G88" s="4"/>
      <c r="H88" s="34"/>
      <c r="I88" s="4"/>
      <c r="J88" s="4"/>
      <c r="K88" s="4"/>
    </row>
    <row r="89" spans="4:11" x14ac:dyDescent="0.25">
      <c r="D89" s="3"/>
      <c r="E89" s="33"/>
      <c r="G89" s="4"/>
      <c r="H89" s="34"/>
      <c r="I89" s="4"/>
      <c r="J89" s="4"/>
      <c r="K89" s="4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3B52-9327-4DD8-B9F6-BC8A7CA58667}">
  <dimension ref="B5:C24"/>
  <sheetViews>
    <sheetView zoomScale="55" zoomScaleNormal="55" workbookViewId="0">
      <selection activeCell="T47" sqref="T47"/>
    </sheetView>
  </sheetViews>
  <sheetFormatPr defaultRowHeight="15" x14ac:dyDescent="0.25"/>
  <cols>
    <col min="2" max="2" width="20.7109375" customWidth="1"/>
    <col min="3" max="3" width="26.7109375" customWidth="1"/>
  </cols>
  <sheetData>
    <row r="5" spans="2:3" x14ac:dyDescent="0.25">
      <c r="B5" s="7" t="s">
        <v>5</v>
      </c>
      <c r="C5" s="7" t="s">
        <v>4</v>
      </c>
    </row>
    <row r="6" spans="2:3" x14ac:dyDescent="0.25">
      <c r="B6" s="8">
        <v>1</v>
      </c>
      <c r="C6" s="8">
        <v>0</v>
      </c>
    </row>
    <row r="7" spans="2:3" x14ac:dyDescent="0.25">
      <c r="B7" s="8">
        <v>2</v>
      </c>
      <c r="C7" s="8">
        <v>5</v>
      </c>
    </row>
    <row r="8" spans="2:3" x14ac:dyDescent="0.25">
      <c r="B8" s="8">
        <v>3</v>
      </c>
      <c r="C8" s="8">
        <v>10</v>
      </c>
    </row>
    <row r="9" spans="2:3" x14ac:dyDescent="0.25">
      <c r="B9" s="8">
        <v>4</v>
      </c>
      <c r="C9" s="8">
        <v>17</v>
      </c>
    </row>
    <row r="10" spans="2:3" x14ac:dyDescent="0.25">
      <c r="B10" s="8">
        <v>5</v>
      </c>
      <c r="C10" s="8">
        <v>25</v>
      </c>
    </row>
    <row r="11" spans="2:3" x14ac:dyDescent="0.25">
      <c r="B11" s="8">
        <v>6</v>
      </c>
      <c r="C11" s="8">
        <v>34</v>
      </c>
    </row>
    <row r="12" spans="2:3" x14ac:dyDescent="0.25">
      <c r="B12" s="8">
        <v>7</v>
      </c>
      <c r="C12" s="8">
        <v>49</v>
      </c>
    </row>
    <row r="13" spans="2:3" x14ac:dyDescent="0.25">
      <c r="B13" s="8">
        <v>8</v>
      </c>
      <c r="C13" s="8">
        <v>63</v>
      </c>
    </row>
    <row r="14" spans="2:3" x14ac:dyDescent="0.25">
      <c r="B14" s="8">
        <v>9</v>
      </c>
      <c r="C14" s="8">
        <v>80</v>
      </c>
    </row>
    <row r="15" spans="2:3" x14ac:dyDescent="0.25">
      <c r="B15" s="8">
        <v>10</v>
      </c>
      <c r="C15" s="8">
        <v>100</v>
      </c>
    </row>
    <row r="16" spans="2:3" x14ac:dyDescent="0.25">
      <c r="B16" s="8">
        <v>11</v>
      </c>
      <c r="C16" s="8">
        <v>100</v>
      </c>
    </row>
    <row r="17" spans="2:3" x14ac:dyDescent="0.25">
      <c r="B17" s="8">
        <v>12</v>
      </c>
      <c r="C17" s="8">
        <v>100</v>
      </c>
    </row>
    <row r="18" spans="2:3" x14ac:dyDescent="0.25">
      <c r="B18" s="8">
        <v>20</v>
      </c>
      <c r="C18" s="8">
        <v>100</v>
      </c>
    </row>
    <row r="24" spans="2:3" x14ac:dyDescent="0.25">
      <c r="B24" t="s">
        <v>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Calculs tech</vt:lpstr>
      <vt:lpstr>Energie dans la batterie </vt:lpstr>
      <vt:lpstr>Puissance eoliénne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smeunier</dc:creator>
  <cp:lastModifiedBy>mohamed salh</cp:lastModifiedBy>
  <dcterms:created xsi:type="dcterms:W3CDTF">2021-04-07T14:46:34Z</dcterms:created>
  <dcterms:modified xsi:type="dcterms:W3CDTF">2026-05-04T20:57:42Z</dcterms:modified>
</cp:coreProperties>
</file>